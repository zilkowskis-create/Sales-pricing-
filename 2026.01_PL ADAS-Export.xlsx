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caroliner-my.sharepoint.com/personal/mindaugas_deikus_car-o-liner_se/Documents/Desktop/Produktai/2026 PRICELISTS/"/>
    </mc:Choice>
  </mc:AlternateContent>
  <xr:revisionPtr revIDLastSave="2" documentId="13_ncr:1_{C4D76FF1-9B01-4E1D-A3A4-952938D91929}" xr6:coauthVersionLast="47" xr6:coauthVersionMax="47" xr10:uidLastSave="{4D901F62-47BD-4F51-8285-805746C42084}"/>
  <bookViews>
    <workbookView xWindow="-120" yWindow="-120" windowWidth="29040" windowHeight="15720" firstSheet="1" activeTab="1" xr2:uid="{B808DF59-4DCB-47D1-A610-336616C15D44}"/>
  </bookViews>
  <sheets>
    <sheet name="Language" sheetId="1" r:id="rId1"/>
    <sheet name="ADAS 2026" sheetId="5" r:id="rId2"/>
    <sheet name="Accessories" sheetId="6" r:id="rId3"/>
    <sheet name="Terms &amp; Conditions" sheetId="4" r:id="rId4"/>
  </sheets>
  <definedNames>
    <definedName name="_xlnm._FilterDatabase" localSheetId="2" hidden="1">Accessories!$B$3:$J$43</definedName>
    <definedName name="_xlnm._FilterDatabase" localSheetId="1" hidden="1">'ADAS 2026'!$B$3:$M$6</definedName>
    <definedName name="_xlnm._FilterDatabase" localSheetId="0" hidden="1">Language!$A$1:$L$59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0" i="6" l="1"/>
  <c r="J71" i="6"/>
  <c r="J72" i="6"/>
  <c r="J69" i="6"/>
  <c r="J68" i="6"/>
  <c r="J74" i="6"/>
  <c r="J65" i="6"/>
  <c r="J64" i="6"/>
  <c r="J62" i="6"/>
  <c r="J61" i="6"/>
  <c r="J59" i="6"/>
  <c r="J57" i="6"/>
  <c r="J55" i="6"/>
  <c r="G46" i="6"/>
  <c r="J46" i="6"/>
  <c r="G47" i="6"/>
  <c r="J47" i="6"/>
  <c r="G48" i="6"/>
  <c r="J48" i="6"/>
  <c r="G49" i="6"/>
  <c r="J49" i="6"/>
  <c r="G50" i="6"/>
  <c r="J50" i="6"/>
  <c r="J33" i="6"/>
  <c r="J28" i="6"/>
  <c r="J24" i="6"/>
  <c r="J7" i="6"/>
  <c r="J8" i="6"/>
  <c r="G5" i="5"/>
  <c r="G6" i="5"/>
  <c r="G4" i="5"/>
  <c r="G18" i="6"/>
  <c r="G19" i="6"/>
  <c r="G20" i="6"/>
  <c r="G21" i="6"/>
  <c r="G22" i="6"/>
  <c r="G23" i="6"/>
  <c r="G25" i="6"/>
  <c r="G26" i="6"/>
  <c r="G27" i="6"/>
  <c r="G29" i="6"/>
  <c r="G30" i="6"/>
  <c r="G31" i="6"/>
  <c r="G32" i="6"/>
  <c r="G34" i="6"/>
  <c r="G35" i="6"/>
  <c r="G36" i="6"/>
  <c r="G37" i="6"/>
  <c r="G38" i="6"/>
  <c r="G39" i="6"/>
  <c r="G40" i="6"/>
  <c r="G41" i="6"/>
  <c r="G42" i="6"/>
  <c r="G43" i="6"/>
  <c r="G45" i="6"/>
  <c r="G52" i="6"/>
  <c r="G53" i="6"/>
  <c r="G54" i="6"/>
  <c r="G56" i="6"/>
  <c r="G58" i="6"/>
  <c r="G60" i="6"/>
  <c r="G63" i="6"/>
  <c r="G66" i="6"/>
  <c r="G67" i="6"/>
  <c r="G75" i="6"/>
  <c r="G5" i="6"/>
  <c r="G6" i="6"/>
  <c r="G9" i="6"/>
  <c r="G10" i="6"/>
  <c r="G11" i="6"/>
  <c r="G12" i="6"/>
  <c r="G13" i="6"/>
  <c r="G14" i="6"/>
  <c r="G15" i="6"/>
  <c r="G16" i="6"/>
  <c r="G17" i="6"/>
  <c r="G4" i="6"/>
  <c r="J5" i="6" l="1"/>
  <c r="J6" i="6"/>
  <c r="J9" i="6"/>
  <c r="J10" i="6"/>
  <c r="J11" i="6"/>
  <c r="J12" i="6"/>
  <c r="J13" i="6"/>
  <c r="J14" i="6"/>
  <c r="J15" i="6"/>
  <c r="J16" i="6"/>
  <c r="J17" i="6"/>
  <c r="J18" i="6"/>
  <c r="J19" i="6"/>
  <c r="J20" i="6"/>
  <c r="J21" i="6"/>
  <c r="J22" i="6"/>
  <c r="J23" i="6"/>
  <c r="J25" i="6"/>
  <c r="J26" i="6"/>
  <c r="J27" i="6"/>
  <c r="J29" i="6"/>
  <c r="J30" i="6"/>
  <c r="J31" i="6"/>
  <c r="J32" i="6"/>
  <c r="J34" i="6"/>
  <c r="J35" i="6"/>
  <c r="J36" i="6"/>
  <c r="J37" i="6"/>
  <c r="J38" i="6"/>
  <c r="J39" i="6"/>
  <c r="J40" i="6"/>
  <c r="J41" i="6"/>
  <c r="J42" i="6"/>
  <c r="J43" i="6"/>
  <c r="J45" i="6"/>
  <c r="J52" i="6"/>
  <c r="J53" i="6"/>
  <c r="J54" i="6"/>
  <c r="J56" i="6"/>
  <c r="J58" i="6"/>
  <c r="J60" i="6"/>
  <c r="J63" i="6"/>
  <c r="J66" i="6"/>
  <c r="J67" i="6"/>
  <c r="J75" i="6"/>
  <c r="J4" i="6"/>
  <c r="M4" i="5"/>
  <c r="M5" i="5"/>
  <c r="M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Halliwell, Nick</author>
  </authors>
  <commentList>
    <comment ref="B11" authorId="0" shapeId="0" xr:uid="{F81FF881-AC3B-4733-A77F-86764ECDA329}">
      <text>
        <r>
          <rPr>
            <sz val="11"/>
            <color theme="1"/>
            <rFont val="Aptos Narrow"/>
            <family val="2"/>
            <scheme val="minor"/>
          </rPr>
          <t xml:space="preserve">Halliwell, Nick:
Chris Ivory to recalculate pricing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futureMetadata>
  <valueMetadata count="5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valueMetadata>
</metadata>
</file>

<file path=xl/sharedStrings.xml><?xml version="1.0" encoding="utf-8"?>
<sst xmlns="http://schemas.openxmlformats.org/spreadsheetml/2006/main" count="1125" uniqueCount="856">
  <si>
    <t>DB Equipment - Category</t>
  </si>
  <si>
    <t>BRAND - CALIBRATION</t>
  </si>
  <si>
    <t>ENGLISH</t>
  </si>
  <si>
    <t>FRANÇAIS</t>
  </si>
  <si>
    <t>DEUTSCH</t>
  </si>
  <si>
    <t>ESPAÑOL</t>
  </si>
  <si>
    <t>ITALIANO</t>
  </si>
  <si>
    <t>ENGLISH FIRST 255</t>
  </si>
  <si>
    <t>EESEEU505B</t>
  </si>
  <si>
    <t>Includes:
- AC400 Clamps
- Ride height targets
- TIP target
- 1 year Premium Free Subscription
- CE Conform
* Calibration targets and accessories sold separately</t>
  </si>
  <si>
    <t xml:space="preserve"> - 4 cibles avec griffes universelles AC400
- Jeu de mise à niveau
- TIP (Target Imaging Pointer)
- 1 an d'abonnement Premium gratuit
- Conformité CE
* Cibles d'étalonnage et accessoires vendus séparément</t>
  </si>
  <si>
    <t>- AC400 radklammern
- Kit für Fahrzeugniveau messung
- TIP (Target Imaging Pointer)
- 1 Jahr kostenloses Premium-Abonnement
- CE-konform
* Kalibriertafeln und Zubehör sind separat erhältlich</t>
  </si>
  <si>
    <t>- 4 abrazaderas de rueda AC400 
- Dianas de altura de conducción a demanda 
- TIP (puntero de imagen de la diana) 
- 1 año de suscripción gratuita premium
- Cumple com CE
* Las dianas de calibración y los accesorios se venden por separado</t>
  </si>
  <si>
    <t>EESE900BKEU</t>
  </si>
  <si>
    <t>Includes: Target Stand, Alignment Fixture, Alignment Fixture w/ Laser, Laser Assembly (2), Alignment Plate, Tape Rule , Tape Rule Stand, Extension Arm (2). Forward Camera Targets (Honda, Acura, Hyundai, Kia, Mazda, Nissan, Infiniti, Audi, Volkswagen, Mercedes-Benz,  Toyota, Lexus)</t>
  </si>
  <si>
    <t>Inclus: Support cible, Dispositif d'alignement, Appareil d'alignement avec laser, Assemblage laser (2), Plaque d'alignement, Règle de bande, Support de règle de bande, Bras d'extension (2). Kit de Caméra Avant (Honda, Acura, Hyundai, Kia, Mazda, Nissan, Infiniti, Audi, Volkswagen, Mercedes-Benz,  Toyota, Lexus)</t>
  </si>
  <si>
    <t>Inkl.: Kalibriertafelbalken, Einstellvorrichtung, Einstellvorrichtung mit Laser, Lasermodule (2), Kalibriertafel, Bandmaß, Halter für Bandmaß, Verlängerungen (2). Frontkameras Kalibriertafeln (Honda, Acura, Hyundai, Kia, Mazda, Nissan, Infiniti, Audi, Volkswagen, Mercedes-Benz,  Toyota, Lexus)</t>
  </si>
  <si>
    <t>Incluye: Soporte de diana, Dispositivo de alineación, Dispositivo de alineación con láser, Conjunto láser (2), Placa de alineación, Cinta métrica, Soporte de la cinta métrica, Brazo de extensión (2). Kit de Diana de Cámara Frontal (Honda, Acura, Hyundai, Kia, Mazda, Nissan, Infiniti, Audi, Volkswagen, Mercedes-Benz,  Toyota, Lexus)</t>
  </si>
  <si>
    <t>EESE900DXEU</t>
  </si>
  <si>
    <t>Includes: Target Stand, Alignment Fixture, Alignment Fixture w/ Laser, Laser Assembly (2), Alignment Plate, Tape Rule , Tape Rule Stand, Extension Arm (2), Rear Alignment Plate, Radar Alignment Stand, Front Radar Reflector (3). Forward Camera Targets (Honda, Acura, Hyundai, Kia, Mazda, Nissan, Infiniti, Audi, Volkswagen, Mercedes-Benz,  Toyota, Lexus, Subaru, Mitsubishi). Rear Camera Targets (Audi, Volkswagen, Mercedes-Benz). Forward Radar Reflector (Honda, Acura, Mazda, Toyota, Lexus)</t>
  </si>
  <si>
    <t>Inclus: Support cible, Dispositif d'alignement, Appareil d'alignement avec laser, Assemblage laser (2), Plaque d'alignement, Règle de bande, Support de règle de bande, Bras d'extension (2), Plaque d'alignement arrière, Support d'alignement radar, Réflecteur radar avant (3). Kit de Caméra Avant (Honda, Acura, Hyundai, Kia, Mazda, Nissan, Infiniti, Audi, Volkswagen, Mercedes-Benz,  Toyota, Lexus, Subaru, Mitsubishi). Kit de Caméra Arrière (Audi, Volkswagen, Mercedes-Benz). Réflecteurs Radar (Honda, Acura, Mazda, Toyota, Lexus)</t>
  </si>
  <si>
    <t>Inkl.: Kalibriertafelbalken, Einstellvorrichtung, Einstellvorrichtung mit Laser, Lasermodule (2), Kalibriertafel, Bandmaß, Halter für Bandmaß, Verlängerungen (2), Kalibriertafel hinten, Radareinstellsäule, Radarreflektor vorne (3). Frontkameras Kalibriertafeln (Honda, Acura, Hyundai, Kia, Mazda, Nissan, Infiniti, Audi, Volkswagen, Mercedes-Benz,  Toyota, Lexus, Subaru, Mitsubishi). Hintere Kameras Kalibriertafeln (Audi, Volkswagen, Mercedes-Benz). Radarreflektor (Honda, Acura, Mazda, Toyota, Lexus)</t>
  </si>
  <si>
    <t>Incluye: Soporte de diana, Dispositivo de alineación, Dispositivo de alineación con láser, Conjunto láser (2), Placa de alineación, Cinta métrica, Soporte de la cinta métrica, Brazo de extensión (2), Placa de alineación trasera, Soporte de alineación del radar, Reflector de radar delantero (3). Kit de Diana de Cámara Frontal (Honda, Acura, Hyundai, Kia, Mazda, Nissan, Infiniti, Audi, Volkswagen, Mercedes-Benz,  Toyota, Lexus, Subaru, Mitsubishi). Kit de Diana de Cámara Trasera (Audi, Volkswagen, Mercedes-Benz). Reflector de Radar Delantero (Honda, Acura, Mazda, Toyota, Lexus)</t>
  </si>
  <si>
    <t>EAK0362L18A</t>
  </si>
  <si>
    <t>- Alfa Romeo
- Front Camera Target</t>
  </si>
  <si>
    <t>Alfa Romeo
Caméra Avant</t>
  </si>
  <si>
    <t>Alfa Romeo
Frontkameras</t>
  </si>
  <si>
    <t>Alfa Romeo
Cámara Frontal</t>
  </si>
  <si>
    <t>EAK0362L65A</t>
  </si>
  <si>
    <t>- Ford
- 360 View</t>
  </si>
  <si>
    <t>Ford
Vue 360</t>
  </si>
  <si>
    <t>Ford
360-Grad-Ansicht</t>
  </si>
  <si>
    <t>Ford
Vista 360</t>
  </si>
  <si>
    <t>EAK0362L28A</t>
  </si>
  <si>
    <t>- Honda, Acura
- Front Camera Target</t>
  </si>
  <si>
    <t>Honda, Acura
Caméra Avant</t>
  </si>
  <si>
    <t>Honda, Acura
Frontkameras</t>
  </si>
  <si>
    <t>Honda, Acura
Cámara Frontal</t>
  </si>
  <si>
    <t>EAK0362L13A</t>
  </si>
  <si>
    <t>- Honda
- Front Camera Target</t>
  </si>
  <si>
    <t>Honda
Caméra Avant</t>
  </si>
  <si>
    <t>Honda
Frontkameras</t>
  </si>
  <si>
    <t>Honda
Cámara Frontal</t>
  </si>
  <si>
    <t>EAK0362L62A</t>
  </si>
  <si>
    <t>- Honda
- Blind Spot Camera</t>
  </si>
  <si>
    <t>Honda
Moniteur d'Angles Morts</t>
  </si>
  <si>
    <t>Honda
Toter-Winkel-Kamera</t>
  </si>
  <si>
    <t>Honda
Cámara de Punto Ciego</t>
  </si>
  <si>
    <t>EAK0362L29A</t>
  </si>
  <si>
    <t>- Fiat
Hyundai, Kia, Genesis
Opel, Vauxhall
Peugeot
- Front Camera Target</t>
  </si>
  <si>
    <t>Fiat, Hyundai, Kia, Genesis, Opel, Vauxhall, Peugeot
Caméra Avant</t>
  </si>
  <si>
    <t>Fiat, Hyundai, Kia, Genesis, Opel, Vauxhall, Peugeot
Frontkameras</t>
  </si>
  <si>
    <t>Fiat, Hyundai, Kia, Genesis, Opel, Vauxhall, Peugeot
Cámara Frontal</t>
  </si>
  <si>
    <t>EAK0362L73A</t>
  </si>
  <si>
    <t>- Hyundai, Kia, Genesis
- 360 View</t>
  </si>
  <si>
    <t>Hyundai, Kia, Genesis
Vue 360</t>
  </si>
  <si>
    <t>Hyundai, Kia, Genesis
360-Grad-Ansicht</t>
  </si>
  <si>
    <t>Hyundai, Kia, Genesis
Vista 360</t>
  </si>
  <si>
    <t>EAK0362L27A</t>
  </si>
  <si>
    <t>- Mazda
- Front Camera Target</t>
  </si>
  <si>
    <t>Mazda
Caméra Avant</t>
  </si>
  <si>
    <t>Mazda
Frontkameras</t>
  </si>
  <si>
    <t>Mazda
Cámara Frontal</t>
  </si>
  <si>
    <t>EAK0362L33A</t>
  </si>
  <si>
    <t>EAK0362L25A</t>
  </si>
  <si>
    <t>- Mercedes-Benz, Volkswagen
- Front Camera Target Requires NV-02 (EAK0362L47A) for Night Vision Short Range Calibration</t>
  </si>
  <si>
    <t>Mercedes-Benz, Volkswagen
Caméra Avant
Nécessite NV-02 (EAK0362L47A) pour l'étalonnage de la vision nocturne à courte portée</t>
  </si>
  <si>
    <t>Mercedes-Benz, Volkswagen
Frontkameras
Erfordert NV-02 (EAK0362L47A) für Nachtsicht-Kurzstreckenkalibrierung</t>
  </si>
  <si>
    <t>Mercedes-Benz, Volkswagen
Cámara Frontal
Requiere NV-02 (EAK0362L47A) para calibración de visión nocturna de corto alcance</t>
  </si>
  <si>
    <t>EAK0362L36A</t>
  </si>
  <si>
    <t>- Mercedes-Benz
- Rear Camera Target</t>
  </si>
  <si>
    <t>Mercedes-Benz
Cible de la caméra arrière</t>
  </si>
  <si>
    <t>Mercedes-Benz
Rückfahrkamera-Tafel</t>
  </si>
  <si>
    <t>Mercedes Benz
Diana de la cámara trasera</t>
  </si>
  <si>
    <t>EAK0362L22A</t>
  </si>
  <si>
    <t>- Including Bracket MB-TBAR-01
- Rear Camera</t>
  </si>
  <si>
    <t>- Avec MB-TBAR-01
- Caméra arrière</t>
  </si>
  <si>
    <t>- Mit MB-TBAR-01
- Rückfahrkamera</t>
  </si>
  <si>
    <t>- Con MB-TBAR-01
- Cámara trasera</t>
  </si>
  <si>
    <t>EAK0362L32A</t>
  </si>
  <si>
    <t>- Mitsubishi, Suzuki
- Front Camera Target</t>
  </si>
  <si>
    <t>Mitsubishi, Suzuki
Caméra Avant</t>
  </si>
  <si>
    <t>Mitsubishi, Suzuki
Frontkameras</t>
  </si>
  <si>
    <t>Mitsubishi, Suzuki
Cámara Frontal</t>
  </si>
  <si>
    <t>EAK0362L64A</t>
  </si>
  <si>
    <t>- 360 View</t>
  </si>
  <si>
    <t>- 360 Grad</t>
  </si>
  <si>
    <t>- Vista 360</t>
  </si>
  <si>
    <t>EAK0362L30A</t>
  </si>
  <si>
    <t>EAK0362L26A</t>
  </si>
  <si>
    <t>- Mercedes-Benz, Nissan, Infiniti
- Front Camera Target</t>
  </si>
  <si>
    <t>Mercedes-Benz, Nissan, Infiniti
Caméra Avant</t>
  </si>
  <si>
    <t>Mercedes-Benz, Nissan, Infiniti
Frontkameras</t>
  </si>
  <si>
    <t>Mercedes-Benz, Nissan, Infiniti
Cámara Frontal</t>
  </si>
  <si>
    <t>EAK0362L20A</t>
  </si>
  <si>
    <t>- Maserati, Nissan, Infiniti
- Front Camera Target</t>
  </si>
  <si>
    <t>Maserati, Nissan, Infiniti
Caméra Avant</t>
  </si>
  <si>
    <t>Maserati, Nissan, Infiniti
Frontkameras</t>
  </si>
  <si>
    <t>Maserati, Nissan, Infiniti
Cámara Frontal</t>
  </si>
  <si>
    <t>EAK0388J67A</t>
  </si>
  <si>
    <t>- Nissan
- Park Assist</t>
  </si>
  <si>
    <t>EAK0362L78A</t>
  </si>
  <si>
    <t>- Rear Camera</t>
  </si>
  <si>
    <t>- Caméra arrière</t>
  </si>
  <si>
    <t>- Rückfahrkamera</t>
  </si>
  <si>
    <t>- Cámara trasera</t>
  </si>
  <si>
    <t>EAK0388J91A</t>
  </si>
  <si>
    <t>- Nissan
- 360 View</t>
  </si>
  <si>
    <t>- Nissan
- 360 Grad</t>
  </si>
  <si>
    <t>- Nissan
- Vista 360</t>
  </si>
  <si>
    <t>EAK0362L47A</t>
  </si>
  <si>
    <t>- Mercedes-Benz
- Night Vision Target</t>
  </si>
  <si>
    <t>- Mercedes-Benz
- Night vision</t>
  </si>
  <si>
    <t>- Mercedes-Benz
- Visión nocturna</t>
  </si>
  <si>
    <t>EAK0362L45A</t>
  </si>
  <si>
    <t>- Alfa Romeo, Fiat, Jeep, Seat, Skoda, Nissan, Infiniti, Renault, Audi, Bentley, Porsche, Volkswagen
- Front Radar Target</t>
  </si>
  <si>
    <t>Alfa Romeo, Fiat, Jeep, Seat, Skoda, Nissan, Infiniti, Renault, Audi, Bentley, Porsche, Volkswagen
Caméra Avant</t>
  </si>
  <si>
    <t>Alfa Romeo, Fiat, Jeep, Seat, Skoda, Nissan, Infiniti, Renault, Audi, Bentley, Porsche, Volkswagen
Frontkameras</t>
  </si>
  <si>
    <t>Alfa Romeo, Fiat, Jeep, Seat, Skoda, Nissan, Infiniti, Renault, Audi, Bentley, Porsche, Volkswagen
Cámara Frontal</t>
  </si>
  <si>
    <t>EAK0370J11A</t>
  </si>
  <si>
    <t>- Man, Seat, Skoda, Mercedes-Benz, Toyota, Audi, Lamborghini, Volkswagen
- Front Radar Target</t>
  </si>
  <si>
    <t>Man, Seat, Skoda, Mercedes-Benz, Toyota, Audi, Lamborghini, Volkswagen
Front Radar Target
Nécessite BKT-13 for Tru-Point (EAK0370J34A)
Nécessite SM01 for EZ-ADAS (EAK0362L46A)</t>
  </si>
  <si>
    <t>Man, Seat, Skoda, Mercedes-Benz, Toyota, Audi, Lamborghini, Volkswagen
Front Radar Target
Erfordert BKT-13 for Tru-Point (EAK0370J34A)
Erfordert SM01 for EZ-ADAS (EAK0362L46A)</t>
  </si>
  <si>
    <t>Man, Seat, Skoda, Mercedes-Benz, Toyota, Audi, Lamborghini, Volkswagen
Front Radar Target
Requiere BKT-13 for Tru-Point (EAK0370J34A)
Requiere SM01 for EZ-ADAS (EAK0362L46A)</t>
  </si>
  <si>
    <t>EAK0370J30A</t>
  </si>
  <si>
    <t>- Blind Spot Front Radar</t>
  </si>
  <si>
    <t>EAK0362L19A</t>
  </si>
  <si>
    <t>- Renault, Opel, Vauxhall, Smart
- Front Camera Target</t>
  </si>
  <si>
    <t>Renault, Opel, Vauxhall, Smart
Caméra Avant</t>
  </si>
  <si>
    <t>Renault, Opel, Vauxhall, Smart
Frontkameras</t>
  </si>
  <si>
    <t>Renault, Opel, Vauxhall, Smart
Cámara Frontal</t>
  </si>
  <si>
    <t>EAK0362L37A</t>
  </si>
  <si>
    <t>- Subaru
- Front Camera Target</t>
  </si>
  <si>
    <t>Subaru
Caméra Avant</t>
  </si>
  <si>
    <t>Subaru
Frontkameras</t>
  </si>
  <si>
    <t>Subaru
Cámara Frontal</t>
  </si>
  <si>
    <t>EAK0362L38A</t>
  </si>
  <si>
    <t>EAK0362L74A</t>
  </si>
  <si>
    <t>- Suzuki
- Front Camera Target</t>
  </si>
  <si>
    <t>Suzuki
Caméra Avant</t>
  </si>
  <si>
    <t>Suzuki
Frontkameras</t>
  </si>
  <si>
    <t>Suzuki
Cámara Frontal</t>
  </si>
  <si>
    <t>EAK0362L34A</t>
  </si>
  <si>
    <t>- Toyota, Lexus
- Front Camera Target</t>
  </si>
  <si>
    <t>- Toyota, Lexus
- Caméra Avant</t>
  </si>
  <si>
    <t>- Toyota, Lexus
- Frontkameras</t>
  </si>
  <si>
    <t>- Toyota, Lexus
- Cámara Frontal</t>
  </si>
  <si>
    <t>EAK0362L23A</t>
  </si>
  <si>
    <t>EAK0362L24A</t>
  </si>
  <si>
    <t>EAK0362L67A</t>
  </si>
  <si>
    <t>- Rear Camera Target 
and
360 View</t>
  </si>
  <si>
    <t>EAK0362L31A</t>
  </si>
  <si>
    <t>- MAN, Seat, Skoda, Audi, Bentley, Lamborghini, Porsche, Volkswagen
- Front Camera Target</t>
  </si>
  <si>
    <t>MAN, Seat, Skoda, Audi, Bentley, Lamborghini, Porsche, Volkswagen
Caméra Avant</t>
  </si>
  <si>
    <t>MAN, Seat, Skoda, Audi, Bentley, Lamborghini, Porsche, Volkswagen
Frontkameras</t>
  </si>
  <si>
    <t>MAN, Seat, Skoda, Audi, Bentley, Lamborghini, Porsche, Volkswagen
Cámara Frontal</t>
  </si>
  <si>
    <t>EAK0370J10B</t>
  </si>
  <si>
    <t>- Lidar Calibration Target for Audi and Lamborghini
- Front Lidar</t>
  </si>
  <si>
    <t>Cible d'étalonnage Lidar pour Audi et Lamborghini
- Front Lidar</t>
  </si>
  <si>
    <t>Lidar-Kalibrierungstafel für Audi und Lamborghini
- Front Lidar</t>
  </si>
  <si>
    <t>Diana de calibración Lidar para Audi y Lamborghini
- Front Lidar</t>
  </si>
  <si>
    <t>EAK0370J05A</t>
  </si>
  <si>
    <t>- Skoda, Audi, Bentley, Lamborghini, Porsche,
- Volkswagen 360 View</t>
  </si>
  <si>
    <t>- Skoda, Audi, Bentley, Lamborghini, Porsche
- Volkswagen Vue 360</t>
  </si>
  <si>
    <t>- Skoda, Audi, Bentley, Lamborghini, Porsche
- Volkswagen 360-Grad-Ansicht</t>
  </si>
  <si>
    <t>- Skoda, Audi, Bentley, Lamborghini, Porsche
- Volkswagen Vista 360</t>
  </si>
  <si>
    <t>EAK0370J09A</t>
  </si>
  <si>
    <t>- Mazda and VWG
- Blind Spot Doppler</t>
  </si>
  <si>
    <t>Mazda et VWG
Doppler</t>
  </si>
  <si>
    <t>Mazda und VWG
Doppler für toten Winkel</t>
  </si>
  <si>
    <t>Mazda y VWG
Doppler de punto ciego</t>
  </si>
  <si>
    <t>EAK0370J00A</t>
  </si>
  <si>
    <t>EAK0370J01A</t>
  </si>
  <si>
    <t>- Cross Target</t>
  </si>
  <si>
    <t>EAK0362L35A</t>
  </si>
  <si>
    <t>- Rear Camera Target</t>
  </si>
  <si>
    <t>Kit cible, caméra arrière</t>
  </si>
  <si>
    <t>Kalibriertafel-Kit hintere Kameras</t>
  </si>
  <si>
    <t>Kit de objetivos, cámara trasera</t>
  </si>
  <si>
    <t>EAA0496L20B</t>
  </si>
  <si>
    <t>EAK0362L46A</t>
  </si>
  <si>
    <t>- Bracket</t>
  </si>
  <si>
    <t>- Supports</t>
  </si>
  <si>
    <t>- Klammern</t>
  </si>
  <si>
    <t>- Soportes</t>
  </si>
  <si>
    <t>EAK0370J23B</t>
  </si>
  <si>
    <t>- Front Camera Extension Arm
- Front Camera</t>
  </si>
  <si>
    <t>- Bras d'extension de la caméra frontale
- Caméra frontale</t>
  </si>
  <si>
    <t>- Verlängerungsarm der Frontkamera
- Frontkamera</t>
  </si>
  <si>
    <t>- Brazo de extensión de la cámara frontal
- Cámara frontal</t>
  </si>
  <si>
    <t>EAK0370J22A</t>
  </si>
  <si>
    <t>- Brackets
- Front Camera</t>
  </si>
  <si>
    <t>- Supports
- Caméra frontale</t>
  </si>
  <si>
    <t>- Klammern
- Frontkamera</t>
  </si>
  <si>
    <t>- Soportes
- Cámara frontal</t>
  </si>
  <si>
    <t>EAK0370J34A</t>
  </si>
  <si>
    <t>- Support for RAD-04, RAD-05, NV-01, VAG-FL-01
- Front Radar</t>
  </si>
  <si>
    <t>EAK0367J20A</t>
  </si>
  <si>
    <t>- Blind Spot Monitor Target
- Radar Blind Spot</t>
  </si>
  <si>
    <t>EAK0370J57A</t>
  </si>
  <si>
    <t>- Mazda
- Blind Spot Doppler Bracket</t>
  </si>
  <si>
    <t>- Mazda
- Support pour Doppler d'angle mort</t>
  </si>
  <si>
    <t>- Mazda
- Zubehör für toten Winkel Doppler</t>
  </si>
  <si>
    <t>- Mazda
Soporte para doppler de punto ciego</t>
  </si>
  <si>
    <t>EAK0370J14A</t>
  </si>
  <si>
    <t>- Front Camera Brackets</t>
  </si>
  <si>
    <t>- Supports de caméra avant</t>
  </si>
  <si>
    <t>- Frontkamerahalterungen</t>
  </si>
  <si>
    <t>- Soportes de cámara frontal</t>
  </si>
  <si>
    <t>EAK0370J36A</t>
  </si>
  <si>
    <t>- Used with HYU-SC-01 (EAK0362L73A), VAG-SC-01 (EAK0370J05A), VAG-SC-01 (EAK0370J05A) 
- 360 View</t>
  </si>
  <si>
    <t>- Utilisé avec HYU-SC-01 (EAK0362L73A),
VAG-SC-01 (EAK0370J05A), VAG-SC-01 (EAK0370J05A)
- 360 View</t>
  </si>
  <si>
    <t>- Verwendet mit HYU-SC-01 (EAK0362L73A),
VAG-SC-01 (EAK0370J05A), VAG-SC-01 (EAK0370J05A)
- 360 Grad</t>
  </si>
  <si>
    <t>- Used with HYU-SC-01 (EAK0362L73A),
VAG-SC-01 (EAK0370J05A), VAG-SC-01 (EAK0370J05A)
- Vista 360</t>
  </si>
  <si>
    <t>EAK0363J76A</t>
  </si>
  <si>
    <t>- Stand for Target EAK0362L62A</t>
  </si>
  <si>
    <t>Support pour cible EAK0362L62A</t>
  </si>
  <si>
    <t>Ständer für Target EAK0362L62A</t>
  </si>
  <si>
    <t>Soporte para diana EAK0362L62A</t>
  </si>
  <si>
    <t>- Rear Blind spot radar validation</t>
  </si>
  <si>
    <t>EAK0370J50A</t>
  </si>
  <si>
    <t>EAK0370J60A</t>
  </si>
  <si>
    <t>EAK0363J50A</t>
  </si>
  <si>
    <t>PRICE LIST 2026</t>
  </si>
  <si>
    <t>Validity   2026.06.01</t>
  </si>
  <si>
    <t>PRODUCT IMAGE</t>
  </si>
  <si>
    <t>PRODUCT TYPE</t>
  </si>
  <si>
    <t>FAMILY</t>
  </si>
  <si>
    <t>P/N</t>
  </si>
  <si>
    <t>MODEL</t>
  </si>
  <si>
    <t>DESCRIPTION</t>
  </si>
  <si>
    <t>List Price
(Euro)</t>
  </si>
  <si>
    <t>Discount</t>
  </si>
  <si>
    <t>Net Price
(ex works)</t>
  </si>
  <si>
    <t>TRU-POINT</t>
  </si>
  <si>
    <t>Tru-Point Calibration System</t>
  </si>
  <si>
    <t>EZ-ADAS</t>
  </si>
  <si>
    <t>ADAS COMPONENT KIT - BASIC </t>
  </si>
  <si>
    <t>ADAS COMPONENT KIT - DELUXE </t>
  </si>
  <si>
    <t>All the regions</t>
  </si>
  <si>
    <t>CATEGORY</t>
  </si>
  <si>
    <t>ITEM</t>
  </si>
  <si>
    <t>REQUIRES</t>
  </si>
  <si>
    <t>TRU-POINT
&amp;
EZ-ADAS</t>
  </si>
  <si>
    <t>FIA-FC-01</t>
  </si>
  <si>
    <t xml:space="preserve">
</t>
  </si>
  <si>
    <t>FOR-SC-01</t>
  </si>
  <si>
    <t>- TGT-05</t>
  </si>
  <si>
    <t>HON-FC-01</t>
  </si>
  <si>
    <t>HON-FC-03</t>
  </si>
  <si>
    <t>- BKT-11
- BKT-12</t>
  </si>
  <si>
    <t>HON-SC-03</t>
  </si>
  <si>
    <t>- Wing Target Cart (EAK0363J76A)</t>
  </si>
  <si>
    <t>HYU-FC-01</t>
  </si>
  <si>
    <t>HYU-SC-01</t>
  </si>
  <si>
    <t>MAZ-FC-01</t>
  </si>
  <si>
    <t>MAZ-FC-02</t>
  </si>
  <si>
    <t>MB-FC-01</t>
  </si>
  <si>
    <t>MB-RC-01</t>
  </si>
  <si>
    <t>MB-RC-02</t>
  </si>
  <si>
    <t>Includes MB-TBAR-01</t>
  </si>
  <si>
    <t>MIT-FC-01</t>
  </si>
  <si>
    <t>MIT-SC-01</t>
  </si>
  <si>
    <t>NIS-FC-01</t>
  </si>
  <si>
    <t>NIS-FC-02</t>
  </si>
  <si>
    <t>NIS-FC-03</t>
  </si>
  <si>
    <t>NIS-SC-03</t>
  </si>
  <si>
    <t>- TGT-06</t>
  </si>
  <si>
    <t>NIS-RC-01</t>
  </si>
  <si>
    <t>NIS-SC-01/02</t>
  </si>
  <si>
    <t>NV-02</t>
  </si>
  <si>
    <t>- Thermal Tower</t>
  </si>
  <si>
    <t>RAD-04</t>
  </si>
  <si>
    <t>- BKT-13</t>
  </si>
  <si>
    <t>RAD-05</t>
  </si>
  <si>
    <t>RAD-11</t>
  </si>
  <si>
    <t>- Includes RAD-11 Base 
- Includes:
base - Post- Cones:
RAD01 (EAA0531J08A)
RAD02 (EAA0531J09A)
RAD03 (EAA0531J10A)
RAD07 (EAA0531J11A)</t>
  </si>
  <si>
    <t>REN-FC-01</t>
  </si>
  <si>
    <t>SUB-FC-01</t>
  </si>
  <si>
    <t>SUB-FC-02</t>
  </si>
  <si>
    <t>SUZ-FC-01</t>
  </si>
  <si>
    <t>TOY-FC-01</t>
  </si>
  <si>
    <t>TOY-FC-02</t>
  </si>
  <si>
    <t>TOY-FC-03</t>
  </si>
  <si>
    <t>TOY-RC-01+TOY-RC-02</t>
  </si>
  <si>
    <t>VAG-FC-01</t>
  </si>
  <si>
    <t>VAG-FL-01</t>
  </si>
  <si>
    <t>VAG-SC-01</t>
  </si>
  <si>
    <t>VAG-SR-01</t>
  </si>
  <si>
    <t>- BKT-17</t>
  </si>
  <si>
    <t>VAG-SC-02</t>
  </si>
  <si>
    <t>VWG
Includes:
VAG-SC-02 (EAA0511J01A)
Wheel kit assy-vag (EAA0511J01A)</t>
  </si>
  <si>
    <t>VAG-SC-03</t>
  </si>
  <si>
    <t>VWG
Rear cross camera</t>
  </si>
  <si>
    <t>VAG-RC-01</t>
  </si>
  <si>
    <t>Target Storage Cart</t>
  </si>
  <si>
    <t>SM-01</t>
  </si>
  <si>
    <t>BKT-10</t>
  </si>
  <si>
    <t>- Bracket for Tru-Point</t>
  </si>
  <si>
    <t>BKT-11 &amp; BKT-12</t>
  </si>
  <si>
    <t>BKT-13</t>
  </si>
  <si>
    <t>BKT-16</t>
  </si>
  <si>
    <t>- Tru-Points - Inculdes stand post and base
Up to Jan 2024</t>
  </si>
  <si>
    <t>BKT-17</t>
  </si>
  <si>
    <t>- Use with VAG-SR-01</t>
  </si>
  <si>
    <t>EA-02 &amp; EA-03</t>
  </si>
  <si>
    <t>TGT-05</t>
  </si>
  <si>
    <t>- BKT-15 to fit to di-bond target</t>
  </si>
  <si>
    <t>Wing Target Cart</t>
  </si>
  <si>
    <t>Tip Target</t>
  </si>
  <si>
    <t>- Spare Part
- Used for measurements around the vehicle</t>
  </si>
  <si>
    <t>PACKAGES</t>
  </si>
  <si>
    <t>EU Core</t>
  </si>
  <si>
    <t>GENERAL CONDITIONS FOR SALE AND SUPPLY</t>
  </si>
  <si>
    <t>1. Definitions</t>
  </si>
  <si>
    <t>In these General Conditions for Sale and Supply the following expressions shall</t>
  </si>
  <si>
    <t>have the meaning as herein after set out.</t>
  </si>
  <si>
    <t>“The Conditions” means the present General Conditions for Sale and Supply.</t>
  </si>
  <si>
    <t>Snap-on Equipment means Snap-on Equipment s.r.l. a company with one</t>
  </si>
  <si>
    <t>shareholder only, with its registered office at Correggio (Reggio Emilia), Italy</t>
  </si>
  <si>
    <t>via Provinciale per Carpi n. 33.</t>
  </si>
  <si>
    <t>“The Customer” means any person, firm, corporation or legal assignee or</t>
  </si>
  <si>
    <t>successor of such person, firm or corporation.</t>
  </si>
  <si>
    <t>“The Goods” means those items which are specified in Snap-on Equipment</t>
  </si>
  <si>
    <t>written confirmation of order.</t>
  </si>
  <si>
    <t>“The Reserved Goods” means those items sold and delivered in which title</t>
  </si>
  <si>
    <t>has not yet passed to the Customer including any new products manufactured</t>
  </si>
  <si>
    <t>or constructed by using such items.</t>
  </si>
  <si>
    <t>“The Contract” means the agreement between the Customer and Snap-on</t>
  </si>
  <si>
    <t>Equipment for Sale and Supply of the Goods to the Customer.</t>
  </si>
  <si>
    <t>2. General</t>
  </si>
  <si>
    <t>2.1 The Customer accepts that these conditions shall apply to all legal relations</t>
  </si>
  <si>
    <t>including transactions in future between itself and Snap-on Equipment to</t>
  </si>
  <si>
    <t>the exclusion of any other terms, including any conditions, warranties or</t>
  </si>
  <si>
    <t>representations written or oral, expressed or implied, even if contained in</t>
  </si>
  <si>
    <t>any of the Customer’s documents (i.e. the Customer’s Standard Conditions</t>
  </si>
  <si>
    <t>for Purchase). Such conditions, warranties or representations are hereby</t>
  </si>
  <si>
    <t>expressly rejected.</t>
  </si>
  <si>
    <t>2.2 Any variation from these Conditions as well as verbal, telegraphic or telephonic</t>
  </si>
  <si>
    <t>statements made by representatives, employees or agents of</t>
  </si>
  <si>
    <t>Snap-on Equipment are always provisional and require in order to be binding</t>
  </si>
  <si>
    <t>Snap-on Equipment’s confirmation in writing which has to be signed by</t>
  </si>
  <si>
    <t>a person authorized to act for and on behalf of Snap-on Equipment. Any</t>
  </si>
  <si>
    <t>confirmation by telex, fax, e-mail shall be sufficient.</t>
  </si>
  <si>
    <t>3. Offer – Offer Documents</t>
  </si>
  <si>
    <t>3.1 Snap-on Equipment’s quotes are subject to change and merely represent</t>
  </si>
  <si>
    <t>an invitation to the recipient, for his part, to submit an offer on the basis of</t>
  </si>
  <si>
    <t>such quote. This does not apply if Snap-on Equipment expressly identified</t>
  </si>
  <si>
    <t>a quote as legally binding. Accordingly, a Contract does not have effect until</t>
  </si>
  <si>
    <t>the Customer places an order on the basis of Snap-on Equipment’s quote</t>
  </si>
  <si>
    <t>and Snap-on Equipment confirms such order.</t>
  </si>
  <si>
    <t>3.2 In the event that an order from the Customer is to be qualified as an offer</t>
  </si>
  <si>
    <t>within the meaning of applicable Italian law, Snap-on Equipment may accept</t>
  </si>
  <si>
    <t>such offer within two weeks.</t>
  </si>
  <si>
    <t>3.3 All property rights and copyrights relating to illustrations, drawings, calculations</t>
  </si>
  <si>
    <t>and other documents are reserved. Irrespective of whether such</t>
  </si>
  <si>
    <t>documents are protected by law, they represent valuable business knowhow;</t>
  </si>
  <si>
    <t>the Customer must neither disclose such information to third parties,</t>
  </si>
  <si>
    <t>nor use it for any commercial purpose except the one(s) of the relevant Contract</t>
  </si>
  <si>
    <t>without Snap-on Equipment’s express consent. This does not apply to</t>
  </si>
  <si>
    <t>documents generally known.</t>
  </si>
  <si>
    <t>3.4 Both parties undertake not to commercially use, or to disclose to third</t>
  </si>
  <si>
    <t>parties, any of the other party’s business secrets which they come to know</t>
  </si>
  <si>
    <t>in the course of their co-operation under the Contract, except for the purpose</t>
  </si>
  <si>
    <t>of the relevant Contract. Such obligation to confidentiality lapses if and</t>
  </si>
  <si>
    <t>to the extent that business secrets become public knowledge through no</t>
  </si>
  <si>
    <t>fault of the relative other party. Moreover it will expire five years after termination</t>
  </si>
  <si>
    <t>of the parties’ co-operation. Business secrets are trade secrets</t>
  </si>
  <si>
    <t>within the meaning of the Italian Act against Unfair Competition.</t>
  </si>
  <si>
    <t>4. Scope of Delivery</t>
  </si>
  <si>
    <t>4.1 The scope of delivery is determined by Snap-on Equipment written confirmation</t>
  </si>
  <si>
    <t>of order.</t>
  </si>
  <si>
    <t>4.2 If not expressly declared to be binding, technical data are only approximate</t>
  </si>
  <si>
    <t>data. Weights and measures are specified within the admissible tolerances</t>
  </si>
  <si>
    <t>as set forth in technical rules or the industrial standards for measures, form</t>
  </si>
  <si>
    <t>and weight. The same applies to all further data and information contained</t>
  </si>
  <si>
    <t>in any other document in particular illustrations, drawings, descriptions,</t>
  </si>
  <si>
    <t>catalogues which intend merely to give a general description of the Goods</t>
  </si>
  <si>
    <t>that Snap-on Equipment is able to supply and any person reading them may</t>
  </si>
  <si>
    <t>not rely on anything contained therein as being a representation of fact concerning</t>
  </si>
  <si>
    <t>the Goods sold and delivered by Snap-on Equipment or any warranty</t>
  </si>
  <si>
    <t>relating thereto whether as to their condition or otherwise.</t>
  </si>
  <si>
    <t>Snap-on Equipment reserves the right to permanently modify the technical</t>
  </si>
  <si>
    <t>conditions of Snap-on Equipment products. Therefore, all data is subject to</t>
  </si>
  <si>
    <t>modifications. Any public statements or advertisements are not binding and</t>
  </si>
  <si>
    <t>do in no way constitute an agreement about the quality of the Goods nor a</t>
  </si>
  <si>
    <t>guarantee according to the quality of the Goods or according to the fitness</t>
  </si>
  <si>
    <t>of the Goods for a specific purpose or according to the long-lastingness of</t>
  </si>
  <si>
    <t>the goods.</t>
  </si>
  <si>
    <t>In case the Customer attaches importance to specific data mentioned in</t>
  </si>
  <si>
    <t>such public statements or advertisements including but not limited to</t>
  </si>
  <si>
    <t>leaflets, catalogues, illustrations and drawings, the Customer shall verify</t>
  </si>
  <si>
    <t>the correctness of such data at the moment in time the contract is concluded.</t>
  </si>
  <si>
    <t>Furthermore, for the quality of the Goods or for their fitness for a</t>
  </si>
  <si>
    <t>specific purpose only Snap-on Equipment description of the product made</t>
  </si>
  <si>
    <t>in Snap-on equipment offer shall be binding between the parties.</t>
  </si>
  <si>
    <t>4.3 Snap-on Equipment reserves title and copyrights and/or rights of author in</t>
  </si>
  <si>
    <t>any documents in respect of the Goods in particular drawings and estimates</t>
  </si>
  <si>
    <t>of costs. Such documents as aforesaid may only be used within the</t>
  </si>
  <si>
    <t>purpose under the Contract. The Customer is not allowed to disclose any</t>
  </si>
  <si>
    <t>such document as aforesaid to any third party without prior written consent</t>
  </si>
  <si>
    <t>of Snap-on Equipment. Upon Snap-on Equipment request any such document</t>
  </si>
  <si>
    <t>has to be returned to Snap-on Equipment.</t>
  </si>
  <si>
    <t>4.4 If not otherwise agreed upon in writing safety devices shall only be within</t>
  </si>
  <si>
    <t>the scope of delivery if such safety devices are required according to the</t>
  </si>
  <si>
    <t>technical standards then valid.</t>
  </si>
  <si>
    <t>4.5 Any building work including earth work, brick work and concrete work, the</t>
  </si>
  <si>
    <t>installation, the connection and the commissioning of the goods as well as</t>
  </si>
  <si>
    <t>the giving of operating instructions to the personnel are not within Snap-on</t>
  </si>
  <si>
    <t>Equipment scope of delivery.</t>
  </si>
  <si>
    <t>4.6 Upon request of the Customer Snap-on Equipment shall provide trained installation</t>
  </si>
  <si>
    <t>personnel for the installation, the commissioning and the instruction.</t>
  </si>
  <si>
    <t>The costs heretofore are borne by the Customer.</t>
  </si>
  <si>
    <t>4.7 The unloading of the Goods or parts thereof and the transport of such items</t>
  </si>
  <si>
    <t>from the place of unloading to the place of installation are within the responsibility</t>
  </si>
  <si>
    <t>of the Customer. The costs heretofore are borne by the Customer</t>
  </si>
  <si>
    <t>even if Snap-on Equipment is delivering freight prepaid.</t>
  </si>
  <si>
    <t>4.8 The Customer is responsible for any safety precautions whatsoever imposed</t>
  </si>
  <si>
    <t>by the plant conditions. Snap-on Equipment liability in that respect is</t>
  </si>
  <si>
    <t>expressly excluded. The exclusion of liability as aforesaid shall not apply in</t>
  </si>
  <si>
    <t>such cases in which Snap-on Equipment shall provide the installation and</t>
  </si>
  <si>
    <t>starting-up according to § 4.6 of the Conditions but always provided that</t>
  </si>
  <si>
    <t>Snap-on Equipment shall only be liable for grossly negligent or wilful acts.</t>
  </si>
  <si>
    <t>5. Prices and Terms of Payment</t>
  </si>
  <si>
    <t>5.1 Subject to any specific agreement in writing, prices are ex works plus the</t>
  </si>
  <si>
    <t>statutory value- added tax in the amount as from time to time in force, if any.</t>
  </si>
  <si>
    <t>5.2 Subject to any specific terms of payment the price must be paid in cash without</t>
  </si>
  <si>
    <t>any deduction and/or charges at Snap-on Equipment place of payment.</t>
  </si>
  <si>
    <t>5.3 Subject to prior agreement payment may be made by an irrevocable confirmed</t>
  </si>
  <si>
    <t>letter of credit payable at a first-class Italian bank.</t>
  </si>
  <si>
    <t>5.4 Snap-on is entitled to interest from the due dates. In such case, the amount</t>
  </si>
  <si>
    <t>of interest shall be fixed according to the applicable Italian Law without</t>
  </si>
  <si>
    <t>prejudice to any other right to damage of Snap-on Equipment. Should the</t>
  </si>
  <si>
    <t>Customer fail to pay any sum due and payable after setting a reasonable</t>
  </si>
  <si>
    <t>written deadline, Snap-on Equipment is entitled to repudiate the Contract or</t>
  </si>
  <si>
    <t>to claim damages.</t>
  </si>
  <si>
    <t>5.5 Any rights of retention of payment based on alleged remedies of the Customer</t>
  </si>
  <si>
    <t>against Snap-on Equipment or any other rights of the Customer</t>
  </si>
  <si>
    <t>against Snap-on Equipment which do not arise under the specific Contract</t>
  </si>
  <si>
    <t>(i.e. claims under another contract between the Customer and Snap-on</t>
  </si>
  <si>
    <t>Equipment) are expressly excluded. Any setoff with the Customer’s claims</t>
  </si>
  <si>
    <t>against Snap-on Equipment claims is not allowed excepts insofar as such</t>
  </si>
  <si>
    <t>claims of the Customer are undisputed or subject of a final and conclusive</t>
  </si>
  <si>
    <t>judgement of a competent court.</t>
  </si>
  <si>
    <t>5.6 Snap-on Equipment shall accept bills of exchange or cheques only upon</t>
  </si>
  <si>
    <t>prior written agreement but always provided that where payment is made</t>
  </si>
  <si>
    <t>by means of bill of exchange or cheque or any other negotiable or not negotiable</t>
  </si>
  <si>
    <t>instrument, Snap-on Equipment shall not be deemed to have received</t>
  </si>
  <si>
    <t>payment until the bill of exchange, cheque or other negotiable or not</t>
  </si>
  <si>
    <t>negotiable instrument has been honoured notwithstanding that Snap-on</t>
  </si>
  <si>
    <t>Equipment may have negotiated such instrument and received value therefore.</t>
  </si>
  <si>
    <t>Any costs of any kind respect of the negotiation of any instrument as</t>
  </si>
  <si>
    <t>aforesaid are borne by the Customer.</t>
  </si>
  <si>
    <t>5.7 Snap-on Equipment is entitled to request the Customer at any time to provide</t>
  </si>
  <si>
    <t>adequate security for its claims against the Customer. Irrespective of</t>
  </si>
  <si>
    <t>the dates of maturity of bills of exchange, cheques or other negotiable or not</t>
  </si>
  <si>
    <t>negotiable instrument accepted by Snap-on Equipment, any claims of</t>
  </si>
  <si>
    <t>Snap-on Equipment against the Customer shall be immediately due and</t>
  </si>
  <si>
    <t>payable upon occurrence of any of the following events:</t>
  </si>
  <si>
    <t>a) in the Customer does not fulfil any of its obligations within time;</t>
  </si>
  <si>
    <t>b) if the Customer is in breach with any other contractual obligation;</t>
  </si>
  <si>
    <t>c) if any circumstances arise which justify bona fide doubts as to the solvency</t>
  </si>
  <si>
    <t>of the Customer and might jeopardise Snap-on Equipment right to the consideration</t>
  </si>
  <si>
    <t>agreed.</t>
  </si>
  <si>
    <t>6. Packaging</t>
  </si>
  <si>
    <t>The standard packaging (boxes on pallet) provided by Snap-on Equipment is included</t>
  </si>
  <si>
    <t>in the Price. Any special packaging shall be requested in writing and paid</t>
  </si>
  <si>
    <t>for by the Customer.</t>
  </si>
  <si>
    <t>7. Retention of Title</t>
  </si>
  <si>
    <t>7.1 Notwithstanding any of the provisions of the Conditions Snap-on Equipment</t>
  </si>
  <si>
    <t>shall retain the title in the Goods until full payment of the price has</t>
  </si>
  <si>
    <t>been effected including additional claims such as interest and claims arising</t>
  </si>
  <si>
    <t>under any other Contract between Snap-on Equipment and the</t>
  </si>
  <si>
    <t>Customer, but always provided that where payment is made by means of</t>
  </si>
  <si>
    <t>bill of exchange, cheque or other negotiable or not negotiable</t>
  </si>
  <si>
    <t>payment for the purpose of this provision until the bill of exchange,</t>
  </si>
  <si>
    <t>cheque or other negotiable or non-negotiable instrument has been</t>
  </si>
  <si>
    <t>honoured notwithstanding that Snap-on Equipment may have negotiated</t>
  </si>
  <si>
    <t>it and received value therefore. The Customer shall do any act</t>
  </si>
  <si>
    <t>required by law or otherwise to make Snap-on Equipment’s retention</t>
  </si>
  <si>
    <t>of title under the present and any further clauses of § 7. of the Conditions</t>
  </si>
  <si>
    <t>valid and effective. The title in the Goods as well as any other rights under</t>
  </si>
  <si>
    <t>§ 7. of the Conditions shall remain valid and effective until Snap-on</t>
  </si>
  <si>
    <t>Equipment is totally released from any contingent liability which Snapon</t>
  </si>
  <si>
    <t>Equipment undertook in the interest of the Customer, in particular</t>
  </si>
  <si>
    <t>such liabilities as aforesaid resulting from the negotiation of negotiable</t>
  </si>
  <si>
    <t>instruments. The same shall apply if the Customer effects payments for</t>
  </si>
  <si>
    <t>claims that are particularly specified. In case of a current account between</t>
  </si>
  <si>
    <t>Snap-on Equipment and the Customer the reservation of title shall be</t>
  </si>
  <si>
    <t>deemed a collateral for the balance of account in Snap-on Equipment</t>
  </si>
  <si>
    <t>favour and if a balance is struck and confirmed by the Customer, this shall</t>
  </si>
  <si>
    <t>not affect the retention of title.</t>
  </si>
  <si>
    <t>7.2 The Customer shall store the reserved goods separately and in such way</t>
  </si>
  <si>
    <t>that they can be readily identified as being Snap-on Equipment property as</t>
  </si>
  <si>
    <t>long as title in the Goods has not yet passed to the Customer under the</t>
  </si>
  <si>
    <t>Conditions. Furthermore, the Customer is under the obligation to keep the</t>
  </si>
  <si>
    <t>reserved Goods in proper working condition until final transfer of ownership.</t>
  </si>
  <si>
    <t>If any maintenance work or repairs are necessary, then the Customer</t>
  </si>
  <si>
    <t>shall retain Snap-on Equipment repair shop or any other repair shop acceptable</t>
  </si>
  <si>
    <t>to Snap-on Equipment. The last mentioned obligation shall not</t>
  </si>
  <si>
    <t>arise in cases of emergency.</t>
  </si>
  <si>
    <t>7.3 The Customer may sell the Goods under reservation of title in the ordinary</t>
  </si>
  <si>
    <t>course of its business to a bona fide Customer for value without notice of</t>
  </si>
  <si>
    <t>Snap-on Equipment rights but the Customer shall then be under a fiduciary</t>
  </si>
  <si>
    <t>duty to account to Snap-on Equipment for the proceeds of such sale up to</t>
  </si>
  <si>
    <t>the total amount due from the Customer to Snap-on Equipment in respect of</t>
  </si>
  <si>
    <t>the Goods or any other contract where payment has not yet been effected.</t>
  </si>
  <si>
    <t>The Customer shall be obliged to deposit any such proceeds from the resale</t>
  </si>
  <si>
    <t>of the Reserved Goods up to the amount of the outstanding balance</t>
  </si>
  <si>
    <t>due to Snap-on Equipment in a separate account and to keep those proceeds</t>
  </si>
  <si>
    <t>apart from other monies.</t>
  </si>
  <si>
    <t>7.4 The Customer’s power to sell shall automatically cease at any time upon</t>
  </si>
  <si>
    <t>occurrence of any of the following events:</t>
  </si>
  <si>
    <t>a) If the Customer suffers any act of bankruptcy or compounds or makes any</t>
  </si>
  <si>
    <t>arrangement with its creditors or executes a bill of sale on its assets or any</t>
  </si>
  <si>
    <t>part thereof or if any execution or distress is levied upon the reserved</t>
  </si>
  <si>
    <t>Goods.</t>
  </si>
  <si>
    <t>b) If the Customer being a company, is wound upon either compulsorily or voluntarily</t>
  </si>
  <si>
    <t>or a receiver of its assets is appointed.</t>
  </si>
  <si>
    <t>7.5 Should any execution or distress be levied upon the Reserved Goods, the</t>
  </si>
  <si>
    <t>Customer shall, without delay notify Snap-on Equipment thereof and deliver</t>
  </si>
  <si>
    <t>to Snap-on Equipment any documentation required in order to object</t>
  </si>
  <si>
    <t>against such execution or distress.</t>
  </si>
  <si>
    <t>7.6 The Customer shall insure the Reserved Goods at its own expense against</t>
  </si>
  <si>
    <t>fire and theft. Upon Snap-on Equipment request, the Customer shall submit</t>
  </si>
  <si>
    <t>evidence of such insurance policies. If no such evidence can be furnished</t>
  </si>
  <si>
    <t>by the Customer, then Snap-on Equipment shall have the right to take out</t>
  </si>
  <si>
    <t>the aforementioned insurance policies at the Customer’s expense. The</t>
  </si>
  <si>
    <t>Customer hereby assigns to Snap-on Equipment any claims against the insurer</t>
  </si>
  <si>
    <t>with regard to the Reserved Goods and Snap-on Equipment hereby</t>
  </si>
  <si>
    <t>accepts such assignment. The Customer undertakes to do any act required</t>
  </si>
  <si>
    <t>by law or otherwise to make the assignment as aforesaid valid and enforceable.</t>
  </si>
  <si>
    <t>7.7 Notwithstanding any of the provisions under § 7. of the Conditions, Snap-on</t>
  </si>
  <si>
    <t>Equipment may maintain an action for the price of the Goods, and the execution</t>
  </si>
  <si>
    <t>of any right whatsoever conferred to Snap-on Equipment by virtue</t>
  </si>
  <si>
    <t>of the Conditions shall be in Snap-on Equipment’s sole discretion.</t>
  </si>
  <si>
    <t>8. Terms of Delivery</t>
  </si>
  <si>
    <t>8.1 Snap-on Equipment quotation of delivery periods is without legal obligation.</t>
  </si>
  <si>
    <t>8.2 In principal the delivery period commences upon dispatch of the confirmation</t>
  </si>
  <si>
    <t>8.3 Upon Snap-on Equipment notification that the Goods are ready for dispatch</t>
  </si>
  <si>
    <t>the Customer is under the immediate obligation to accept delivery of the</t>
  </si>
  <si>
    <t>Goods. Should delivery not be accepted Snap-on Equipment is allowed to</t>
  </si>
  <si>
    <t>store the Goods at the Customer’s costs and risk of loss and to invoice the</t>
  </si>
  <si>
    <t>Goods as delivered.</t>
  </si>
  <si>
    <t>8.4 Reservation is made that Snap-on Equipment is supplied in a punctual and</t>
  </si>
  <si>
    <t>correct way with the material required to fulfil its obligations to the Customer.</t>
  </si>
  <si>
    <t>8.5 The delivery period shall be extended by an appropriate amount of time in</t>
  </si>
  <si>
    <t>the event of force majeure which shall include but not be limited to acts of</t>
  </si>
  <si>
    <t>God, war, riots, industrial disputes, strikes and lock-outs and unforeseen</t>
  </si>
  <si>
    <t>obstacles which are beyond Snap-on Equipment control, insofar as such</t>
  </si>
  <si>
    <t>obstacles can be shown to have exercised considerable influence on the</t>
  </si>
  <si>
    <t>completion or the delivery of the Goods. Snap-on Equipment shall not be</t>
  </si>
  <si>
    <t>liable as such events as aforesaid shall occur whilst delivery is already</t>
  </si>
  <si>
    <t>delayed. Snap-on Equipment shall notify the Customer as soon as possible</t>
  </si>
  <si>
    <t>upon commencement and termination of obstacles as aforesaid.</t>
  </si>
  <si>
    <t>8.6 Partial deliveries are allowed. Each partial delivery shall be invoiced separately.</t>
  </si>
  <si>
    <t>8.7 If dispatch of the Goods is delayed upon request of the Customer or due to</t>
  </si>
  <si>
    <t>the Customer’s non-acceptance of the delivery, Snap-on Equipment shall</t>
  </si>
  <si>
    <t>be allowed after the expiry of 30 days after notification of readiness of the</t>
  </si>
  <si>
    <t>Goods for dispatch to invoice the Customer in respect of the storage cost of</t>
  </si>
  <si>
    <t>the Goods. Should the Goods be stored in Snap-on Equipment works, the</t>
  </si>
  <si>
    <t>storage cost shall be at least 2% of the invoice amount for every calendar</t>
  </si>
  <si>
    <t>month. Snap-on Equipment rights to any further damage are reserved.</t>
  </si>
  <si>
    <t>Upon fruitless expiry of the reasonable period for acceptance of delivery of</t>
  </si>
  <si>
    <t>the Goods. Snap-on Equipment is allowed to dispose of the Goods. In such</t>
  </si>
  <si>
    <t>case Snap-on Equipment is entitled to deliver to the Customer within a reasonably</t>
  </si>
  <si>
    <t>extended delivery period.</t>
  </si>
  <si>
    <t>9. Passing of Risk and Acceptance of Delivery</t>
  </si>
  <si>
    <t>9.1 The risk of loss and deterioration of the Goods shall pass to the Customer</t>
  </si>
  <si>
    <t>immediately upon dispatch the Goods to the Customer. The same applies if</t>
  </si>
  <si>
    <t>Snap-on Equipment has accepted additional obligations such as transportation</t>
  </si>
  <si>
    <t>costs, the transport, the installation or the assembly of the goods.</t>
  </si>
  <si>
    <t>9.2 Should dispatch be delayed in consequence of circumstances for which the</t>
  </si>
  <si>
    <t>Customer is responsible, the risk of loss and deterioration of the Goods</t>
  </si>
  <si>
    <t>shall pass to the Customer at the date of notification of readiness of the</t>
  </si>
  <si>
    <t>Goods for dispatch by Snap-on Equipment to the Customer.</t>
  </si>
  <si>
    <t>9.3 The Customer is under the obligation to accept delivery of the Goods irrespective</t>
  </si>
  <si>
    <t>of the Good’s showing defect, without prejudice of the Customer’s</t>
  </si>
  <si>
    <t>rights arising</t>
  </si>
  <si>
    <t>10. Trading Terms</t>
  </si>
  <si>
    <t>The Incoterms 2010 version are applicable subject to the specific provisions of</t>
  </si>
  <si>
    <t>these Conditions or the Contract which shall prevail.</t>
  </si>
  <si>
    <t>11. Delivery</t>
  </si>
  <si>
    <t>The quotation of delivery is indicative. In case of delay § 16. herein shall apply.</t>
  </si>
  <si>
    <t>12. Self-Delivery – Force Majeure</t>
  </si>
  <si>
    <t>12.1 Snap-on Equipment shall be exempted from their duty to deliver if and to the</t>
  </si>
  <si>
    <t>extent that deliveries are made impossible by Force Majeure, which includes</t>
  </si>
  <si>
    <t>war, earthquakes and other catastrophes as well as the destruction</t>
  </si>
  <si>
    <t>of production facilities by fire or strike, whether at facilities of Snap-on</t>
  </si>
  <si>
    <t>Equipment or those of their suppliers. In the event that the obstacle to delivery</t>
  </si>
  <si>
    <t>persists for more than four weeks, Snap-on Equipment may rescind the</t>
  </si>
  <si>
    <t>Contract.</t>
  </si>
  <si>
    <t>12.2 Snap-on Equipment shall not be liable for delays in delivery that are due to</t>
  </si>
  <si>
    <t>their suppliers’ failure to provide raw materials, components or semi-finished</t>
  </si>
  <si>
    <t>products, or the supplier’s failure to do so in due time, although</t>
  </si>
  <si>
    <t>Snap-on Equipment has concluded a corresponding substitute transaction</t>
  </si>
  <si>
    <t>and the delay in, or failure of, proper delivery of the supplier is not attributable</t>
  </si>
  <si>
    <t>to Snap-on Equipment. in such cases, Snap-on Equipment undertake</t>
  </si>
  <si>
    <t>to immediately look for a replacement for the failed supply if and to the extent</t>
  </si>
  <si>
    <t>that such substitute through another supplier does not impose an unreasonable</t>
  </si>
  <si>
    <t>burden on Snap-on Equipment – i.e., its price and quality are</t>
  </si>
  <si>
    <t>equivalent to that of the originally agreed supply. Snap-on Equipment shall</t>
  </si>
  <si>
    <t>promptly inform the Customer of the reasons for such delivery delays, and if</t>
  </si>
  <si>
    <t>such circumstances cause a delay in delivery of more than two months,</t>
  </si>
  <si>
    <t>both Snap-on Equipment and the Customer may rescind the Contract.</t>
  </si>
  <si>
    <t>Goods and services already received shall be returned, and the parties</t>
  </si>
  <si>
    <t>waive any further claims.</t>
  </si>
  <si>
    <t>13. Notice of Defects</t>
  </si>
  <si>
    <t>13.1 Written notice of apparent defects or any other complaint, including but not</t>
  </si>
  <si>
    <t>limited to failure to comply with any particular agreement or guarantee as to</t>
  </si>
  <si>
    <t>the fitness of the Goods for a specific purpose, failure as to the quantity of</t>
  </si>
  <si>
    <t>the Goods, must be given without delay at the latest 14 days from the receipt</t>
  </si>
  <si>
    <t>of the goods. Written notice of hidden defects must be given without</t>
  </si>
  <si>
    <t>delay at the latest 14 days from the discovery of such defects but not later</t>
  </si>
  <si>
    <t>than 12 months from the receipt of the Goods.</t>
  </si>
  <si>
    <t>13.2 Should Snap-on Equipment not be notified of defects or any other complaints</t>
  </si>
  <si>
    <t>within the delays as set out in § 13.1 of the Conditions. Snap-on</t>
  </si>
  <si>
    <t>Equipment shall be discharged from all liability arising from defects of the</t>
  </si>
  <si>
    <t>Goods or any other complaints and any rights of the Customer of whatsoever</t>
  </si>
  <si>
    <t>nature are excluded.</t>
  </si>
  <si>
    <t>14. Warranty for Defects</t>
  </si>
  <si>
    <t>14.1 Should the Customer notify Snap-on Equipment in accordance with § 13. of</t>
  </si>
  <si>
    <t>the Conditions of an existing defect of the Goods or of any other complaint</t>
  </si>
  <si>
    <t>as mentioned in § 13.1 of the Conditions, Snap-on Equipment liability shall</t>
  </si>
  <si>
    <t>according to Snap-on Equipment’s choice be limited to either replace or repair</t>
  </si>
  <si>
    <t>such defective Goods, provided that the Customer shows that the defect</t>
  </si>
  <si>
    <t>or any other complaint was already existent at the point in time of the</t>
  </si>
  <si>
    <t>passing of the risk. In case the Customer notifies Snap-on Equipment of an</t>
  </si>
  <si>
    <t>existing defect of the instructions of installation of the Goods, Snap-on</t>
  </si>
  <si>
    <t>Equipment liability shall be limited to the providing of the instruction of installation</t>
  </si>
  <si>
    <t>without any defects, but only provided that the defect of the instruction</t>
  </si>
  <si>
    <t>of installation made it in fact impossible for the Customer to duly</t>
  </si>
  <si>
    <t>install the Goods. The warranty period shall run for 24 months from installation</t>
  </si>
  <si>
    <t>at end user’s site or 27 months from delivery of the goods and passing</t>
  </si>
  <si>
    <t>of risk, whatever happens first. Snap-on Equipment shall not be liable for</t>
  </si>
  <si>
    <t>defects of used or second-hand goods.</t>
  </si>
  <si>
    <t>14.2 For wear parts the warranty period shall run for 12 months from delivery of</t>
  </si>
  <si>
    <t>the goods and passing of risk. If Snap-on Equipment, however, recommends</t>
  </si>
  <si>
    <t>in the manual or other documentation made available to the Customer</t>
  </si>
  <si>
    <t>the exchange of wear parts in shorter intervals, the warranty period</t>
  </si>
  <si>
    <t>shall be limited to such time interval recommended by Snap-on Equipment.</t>
  </si>
  <si>
    <t>14.3 For spare parts the warranty period shall run for 12 months from delivery of</t>
  </si>
  <si>
    <t>the goods and passing of risk.</t>
  </si>
  <si>
    <t>14.4 The Customer is under the obligation after consultation of Snap-on Equipment</t>
  </si>
  <si>
    <t>to grant Snap-on Equipment the time required to repair or to replace</t>
  </si>
  <si>
    <t>the Goods and to do all necessary steps to allow Snap-on Equipment a repair</t>
  </si>
  <si>
    <t>of the goods or a replacement delivery.</t>
  </si>
  <si>
    <t>14.5 Any goods or parts thereof which have been replaced by Snap-on Equipment</t>
  </si>
  <si>
    <t>in consequence of its liability for defects shall be returned to Snap-on</t>
  </si>
  <si>
    <t>Equipment at request, and Snap-on Equipment shall bear the costs for the</t>
  </si>
  <si>
    <t>return transport of such goods or parts at the lowest available transport</t>
  </si>
  <si>
    <t>rates.</t>
  </si>
  <si>
    <t>14.6 Should Customer’s notification of defects be unjustified, Snap-on Equipment</t>
  </si>
  <si>
    <t>will be entitled to claim for all costs that arise from such unjustified notice</t>
  </si>
  <si>
    <t>of defects.</t>
  </si>
  <si>
    <t>14.7 Without limiting its liability for defects, Snap-on Equipment expressly excludes</t>
  </si>
  <si>
    <t>any liability arising in particular on the following grounds: irrelevant</t>
  </si>
  <si>
    <t>deviation from the agreed quality of the Goods and irrelevant reduction according</t>
  </si>
  <si>
    <t>to the usability as well as inappropriate or improper use of the</t>
  </si>
  <si>
    <t>goods, defective installation or starting-up by the Customer or third parties,</t>
  </si>
  <si>
    <t>usual wear and tear, improper or negligent handling in particular excessive</t>
  </si>
  <si>
    <t>work load, inappropriate working material, substitute working material, insufficient</t>
  </si>
  <si>
    <t>construction work, inappropriate building ground, chemical electrical</t>
  </si>
  <si>
    <t>influences as long these are not caused by a grossly negligent or wilful</t>
  </si>
  <si>
    <t>act of Snap-on Equipment.</t>
  </si>
  <si>
    <t>14.8 Should the Customer transfer the goods to another place than the place</t>
  </si>
  <si>
    <t>where he has ordered the Goods and should the costs for repair or replacement</t>
  </si>
  <si>
    <t>delivery, including but not limited to costs for transport, work and material,</t>
  </si>
  <si>
    <t>therefore increase, the Customer shall only be entitled to claim for the</t>
  </si>
  <si>
    <t>costs that would also have arisen in case the goods still had been at the</t>
  </si>
  <si>
    <t>place to which they were delivered, unless the transfer of the goods corresponds</t>
  </si>
  <si>
    <t>with the normal use of such goods.</t>
  </si>
  <si>
    <t>14.9 The Snap-on Equipment vehicle diagnostics and information software is</t>
  </si>
  <si>
    <t>based on their documents, vehicle inspections previously conducted, specifications</t>
  </si>
  <si>
    <t>of OEMs and importers as well as other data publicly accessible.</t>
  </si>
  <si>
    <t>Considering the huge amount of data Snap-on Equipment is not in a position</t>
  </si>
  <si>
    <t>to verify the specifications of OEMs and importers as well as other data</t>
  </si>
  <si>
    <t>publicly accessible for completeness, correctness and currentness. Especially</t>
  </si>
  <si>
    <t>considering the multitude of vehicle configurations it is not possible</t>
  </si>
  <si>
    <t>that the software includes the data of every single vehicle configuration, in</t>
  </si>
  <si>
    <t>particular not the ones of every country-specific vehicle configuration. For</t>
  </si>
  <si>
    <t>this reason Snap-on Equipment does not take over any warranty for completeness,</t>
  </si>
  <si>
    <t>correctness and currentness of these data.</t>
  </si>
  <si>
    <t>The data ascertained by Snap-on Equipment is only a supplement to the</t>
  </si>
  <si>
    <t>specifications of OEMs and importers. Considering the huge amount of</t>
  </si>
  <si>
    <t>data Snap-on Equipment is not in a position to take over any warranty for</t>
  </si>
  <si>
    <t>completeness and currentness of such data.</t>
  </si>
  <si>
    <t>When using the vehicle diagnostic and information software the software</t>
  </si>
  <si>
    <t>user undertakes to ensure that vehicle IDs and equipment correspond to</t>
  </si>
  <si>
    <t>the software data.</t>
  </si>
  <si>
    <t>15. Warranty of Title / Intellectual Property</t>
  </si>
  <si>
    <t>15.1 Unless otherwise agreed Snap-on Equipment shall deliver the goods free</t>
  </si>
  <si>
    <t>from third parties rights or justified claims founded on industrial or other intellectual</t>
  </si>
  <si>
    <t>property (hereinafter referred to: intellectual property) in the</t>
  </si>
  <si>
    <t>country being the destination of Snap-on Equipment delivery. In case any</t>
  </si>
  <si>
    <t>third party shall assert a claim against the Customer founded on the violation</t>
  </si>
  <si>
    <t>of intellectual property by the goods, Snap-on Equipment shall be liable</t>
  </si>
  <si>
    <t>within 12 months after delivery as follows.</t>
  </si>
  <si>
    <t>15.2 Snap-on Equipment liability shall according to Snap-on Equipment choice</t>
  </si>
  <si>
    <t>be limited either to provide a license concerning the intellectual property or</t>
  </si>
  <si>
    <t>to replace the goods or to change the goods insofar that they will no longer</t>
  </si>
  <si>
    <t>violate intellectual property delivered by Snap-on Equipment and that are</t>
  </si>
  <si>
    <t>used in correspondence with the contract. In case a similar item is not available</t>
  </si>
  <si>
    <t>Snap-on Equipment shall reimburse the Price, with the exclusion of</t>
  </si>
  <si>
    <t>any other direct or indirect damage.</t>
  </si>
  <si>
    <t>15.3 Snap-on Equipment shall only be under the obligation to take measures as</t>
  </si>
  <si>
    <t>mentioned in 15.2 if the Customer has notified Snap-on Equipment immediately</t>
  </si>
  <si>
    <t>in writing about such third parties claims and if the Customer has not</t>
  </si>
  <si>
    <t>acknowledged such violation and always provided that Snap-on Equipment</t>
  </si>
  <si>
    <t>may decide about all measures that shall be taken to defend Snap-on</t>
  </si>
  <si>
    <t>Equipment and about all amicable settlements at Snap-on Equipment own</t>
  </si>
  <si>
    <t>discretion. Should the Customer stop the use of the delivered Goods in</t>
  </si>
  <si>
    <t>order to minimise the damage or for whatever important reason, the Customer</t>
  </si>
  <si>
    <t>is under the obligation to notify the third party that this shall not be</t>
  </si>
  <si>
    <t>deemed as an acknowledgement of a violation of intellectual property.</t>
  </si>
  <si>
    <t>15.4 Any claim of the Customer for defects of title are excluded if and to the extent</t>
  </si>
  <si>
    <t>the Customer is liable for the violation of the intellectual property, including</t>
  </si>
  <si>
    <t>but not limited to the following cases; the Customer has caused the</t>
  </si>
  <si>
    <t>violation because of specific indications given to Snap-on Equipment or by</t>
  </si>
  <si>
    <t>a use of the Goods that was not agreed upon by the parties or by changing</t>
  </si>
  <si>
    <t>the delivered Goods or using them together with products that have not</t>
  </si>
  <si>
    <t>been delivered by Snap-on Equipment</t>
  </si>
  <si>
    <t>16. Damages</t>
  </si>
  <si>
    <t>16.1 Notwithstanding any other provisions in the Conditions all claims for damages</t>
  </si>
  <si>
    <t>of Customer, i.e. liability for defects, the liability for impossibility of performance</t>
  </si>
  <si>
    <t>and delay in delivery, any liability for damages arising from a</t>
  </si>
  <si>
    <t>breach of any obligation before or at the time of contracting, breach of other</t>
  </si>
  <si>
    <t>contractual obligations, tort, or any other consequential loss or damage of</t>
  </si>
  <si>
    <t>whatsoever nature and howsoever arising shall be excluded.</t>
  </si>
  <si>
    <t>16.2 In case of a negligent breach of cardinal obligations, Snap-on Equipment</t>
  </si>
  <si>
    <t>liability shall be limited to the amount of the value of the order.</t>
  </si>
  <si>
    <t>16.3 The exclusion of liability shall not apply with regard to claims arising under</t>
  </si>
  <si>
    <t>the Italian Product Liability Act.</t>
  </si>
  <si>
    <t>§ 17. Training Courses</t>
  </si>
  <si>
    <t>17.1 The above mentioned limitations of liability shall also apply if Snap-on</t>
  </si>
  <si>
    <t>Equipment provides training courses for employees of other companies</t>
  </si>
  <si>
    <t>with the proviso that such companies are obliged to provide for sufficient</t>
  </si>
  <si>
    <t>insurance coverage for possible accidents of such employees. Furthermore</t>
  </si>
  <si>
    <t>Snap-on Equipment’s liability for actions of their corporate bodies,</t>
  </si>
  <si>
    <t>employees, agents or representatives shall be limited to intent or gross</t>
  </si>
  <si>
    <t>negligence in case of injuries or fatalities of the employees of other companies</t>
  </si>
  <si>
    <t>during the training courses.</t>
  </si>
  <si>
    <t>17.2 In principle the costs for travel and lodging for the trained personal of such</t>
  </si>
  <si>
    <t>companies shall be borne by those companies; in no way shall Snap-on</t>
  </si>
  <si>
    <t>Equipment bear such costs. Accommodation and means of travel shall be</t>
  </si>
  <si>
    <t>in the responsibility of the employees to be trained of such other companies,</t>
  </si>
  <si>
    <t>or their relative employers.</t>
  </si>
  <si>
    <t>18. Disposal</t>
  </si>
  <si>
    <t>18.1 At the end of use of the equipment the Customer shall dispose of it in line</t>
  </si>
  <si>
    <t>with legal directives. To this end the Customer shall exempt Snap-on Equipment</t>
  </si>
  <si>
    <t>from the obligations imposed according to § 10 clause 2 of the WEEE</t>
  </si>
  <si>
    <t>directive (obligation of manufacturer to take back waste equipment) and resulting</t>
  </si>
  <si>
    <t>claims of third parties.</t>
  </si>
  <si>
    <t>18.2 The Customer shall bear the cost for disposal of the equipment supplied.</t>
  </si>
  <si>
    <t>18.3 The claim of Snap-on Equipment towards the Customer to take over manufacturer’s</t>
  </si>
  <si>
    <t>obligations and to exempt Snap-on from the claims of third parties</t>
  </si>
  <si>
    <t>shall not become time-barred prior to expiry of a period of 12 months from</t>
  </si>
  <si>
    <t>final termination of use of the equipment. This deadline will begin upon receipt</t>
  </si>
  <si>
    <t>of a written notification at Snap-on Equipment about the termination of</t>
  </si>
  <si>
    <t>use at the earliest.</t>
  </si>
  <si>
    <t>18.4 If the equipment is forwarded to commercial third parties, the Customer</t>
  </si>
  <si>
    <t>shall oblige such third parties to duly dispose of the equipment at the end of</t>
  </si>
  <si>
    <t>its time of use, to bear relative cost, and to impose such obligation to any</t>
  </si>
  <si>
    <t>further third party in case the equipment is forwarded again. If the Customer</t>
  </si>
  <si>
    <t>fails to successfully oblige any third party to whom he forwards the supplied</t>
  </si>
  <si>
    <t>equipment to take over the obligation for proper disposal and to impose</t>
  </si>
  <si>
    <t>such obligations to further third parties when forwarding the equipment</t>
  </si>
  <si>
    <t>again, he shall be obliged to take back and duly dispose of the equipment at</t>
  </si>
  <si>
    <t>the end of its time of use in accordance with legal directives and to bear the</t>
  </si>
  <si>
    <t>relative cost.</t>
  </si>
  <si>
    <t>19. Miscellaneous</t>
  </si>
  <si>
    <t>Upon prior notice to the Customer, Snap-on Equipment shall have the right to inspect</t>
  </si>
  <si>
    <t>the Goods in the Customer’s premises, to take notice of the operating results</t>
  </si>
  <si>
    <t>and to demonstrate the equipment to its prospective buyers should the Customer</t>
  </si>
  <si>
    <t>not prove that Snap-on Equipment right as aforesaid shall jeopardize the</t>
  </si>
  <si>
    <t>Customer’s interest to business confidentiality or any other important interest.</t>
  </si>
  <si>
    <t>20. Place of Performance / Jurisdiction</t>
  </si>
  <si>
    <t>20.1 Place of performance for Snap-on Equipment and the Customer is Correggio</t>
  </si>
  <si>
    <t>(Reggio Emilia), Italy.</t>
  </si>
  <si>
    <t>20.2 All disputes arising out of or in connection with the Conditions, without</t>
  </si>
  <si>
    <t>prejudice to the claimant’s right to commence proceedings at the</t>
  </si>
  <si>
    <t>defendant’s place of business, shall be decided exclusively by a Court of</t>
  </si>
  <si>
    <t>Arbitration, which shall be constituted in accordance with the arbitration</t>
  </si>
  <si>
    <t>rules of the Arbitration Section of Chamber of Commerce of Milan, Italy.</t>
  </si>
  <si>
    <t>The Court of Arbitration shall consist of one Arbitration Judge. The place</t>
  </si>
  <si>
    <t>of the procedure shall be Milan, Italy.</t>
  </si>
  <si>
    <t>21. Applicable Law</t>
  </si>
  <si>
    <t>These Conditions and any contract hereunder between Snap-on Equipment and</t>
  </si>
  <si>
    <t>the Customer shall be governed by and construed in accordance with the laws of</t>
  </si>
  <si>
    <t>the Republic of Italy including the United Nations Convention on contracts for the</t>
  </si>
  <si>
    <t>International sale of Goods (CISG) .</t>
  </si>
  <si>
    <t>22. Final Provisions</t>
  </si>
  <si>
    <t>22.1 The headings of the above provisions are for convenience only and have no</t>
  </si>
  <si>
    <t>importance for the interpretation of these Conditions.</t>
  </si>
  <si>
    <t>22.2 Should any of these provisions be invalid or become invalid for whatsoever</t>
  </si>
  <si>
    <t>reason the remaining provisions shall be unaffected. In such case the statutory</t>
  </si>
  <si>
    <t>regulations shall be applicable in addition.</t>
  </si>
  <si>
    <t>22.3 Where appropriate in these Conditions the singular shall include the plural</t>
  </si>
  <si>
    <t>and vice versa and where there are two or more persons, firms or companies</t>
  </si>
  <si>
    <t>comprised in the definition of the Customer then the obligations imposed</t>
  </si>
  <si>
    <t>on them shall be joint and several obligations.</t>
  </si>
  <si>
    <t>CUSTOMER</t>
  </si>
  <si>
    <t>Date                                                       Signature</t>
  </si>
  <si>
    <t>According to article 1341 of the Italian Civil Code, the following provisions are expressly</t>
  </si>
  <si>
    <t>accepted:</t>
  </si>
  <si>
    <t>1 § 3.1 &amp; 3.2 Offer – Offer Documents</t>
  </si>
  <si>
    <t>2 § 8–11 Terms of Delivery – Delivery</t>
  </si>
  <si>
    <t>3 § 13.2 Limitation of Liability for Defects</t>
  </si>
  <si>
    <t>4 § 14 Warranty for Defects</t>
  </si>
  <si>
    <t>5 § 15 Warranty of Title / Intellectual Property – Limitations</t>
  </si>
  <si>
    <t>6 § 16 Damages – Limitations</t>
  </si>
  <si>
    <t>7 § 17 Training Courses</t>
  </si>
  <si>
    <t>8 § 20 Jurisdiction</t>
  </si>
  <si>
    <t>Snap-on Equipment Srl a unico socio</t>
  </si>
  <si>
    <t>Via Provinciale per Carpi 33</t>
  </si>
  <si>
    <t>42015 Correggio (RE) /  Italy</t>
  </si>
  <si>
    <t>C805E 2015.11</t>
  </si>
  <si>
    <t>EAK0388J21A</t>
  </si>
  <si>
    <t>- Tru-Points - From to Jan 2024</t>
  </si>
  <si>
    <t>HON-FC-02</t>
  </si>
  <si>
    <t>BKT-18</t>
  </si>
  <si>
    <t>EAK0370J48A</t>
  </si>
  <si>
    <t>Subscription</t>
  </si>
  <si>
    <t xml:space="preserve">EAK0388J13A </t>
  </si>
  <si>
    <t>TGT-06</t>
  </si>
  <si>
    <t>EAK0388J50A</t>
  </si>
  <si>
    <t>EAA0496L51A</t>
  </si>
  <si>
    <t>EAA0142j58A</t>
  </si>
  <si>
    <t>BKT-15</t>
  </si>
  <si>
    <t>EAK0370J49A</t>
  </si>
  <si>
    <t>EAK0362L11A</t>
  </si>
  <si>
    <t>EAK0362L60A</t>
  </si>
  <si>
    <t>EAK0362L44A</t>
  </si>
  <si>
    <t>NV-01</t>
  </si>
  <si>
    <t>EAA0531J03B</t>
  </si>
  <si>
    <t>SUB-FC-03</t>
  </si>
  <si>
    <t>EAK0388J65A</t>
  </si>
  <si>
    <t>HON-SC-01</t>
  </si>
  <si>
    <t>- Set of 2</t>
  </si>
  <si>
    <t xml:space="preserve">- TGT-06
- includes: NIS-SC-02
- </t>
  </si>
  <si>
    <t>EAK0400J42A</t>
  </si>
  <si>
    <t>TOYOTA MASTER T-P</t>
  </si>
  <si>
    <t>EAK0400J58A</t>
  </si>
  <si>
    <t>EU TOYOTA LITE T-P</t>
  </si>
  <si>
    <t>EAK0400J40A</t>
  </si>
  <si>
    <t>TOYOTA 360</t>
  </si>
  <si>
    <t>EAK0400J43A</t>
  </si>
  <si>
    <t>TOYOTA 360 ADD ON</t>
  </si>
  <si>
    <t>EAK0400J51A</t>
  </si>
  <si>
    <t>TOYOTA TV ONLY</t>
  </si>
  <si>
    <t>- Toyota</t>
  </si>
  <si>
    <t>Master Kit for a Toyota only Dealer</t>
  </si>
  <si>
    <t>Requires EMEA Core Kit BKT-16</t>
  </si>
  <si>
    <t>- For Tru-Point Jan 2024 onwards</t>
  </si>
  <si>
    <t>- This adds to Master Lite and 360 to do all in 1 operation</t>
  </si>
  <si>
    <t xml:space="preserve">All the regions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</si>
</sst>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1"/>
      <color theme="1"/>
      <name val="Aptos Narrow"/>
      <family val="2"/>
      <scheme val="minor"/>
    </font>
    <font>
      <sz val="11"/>
      <color theme="1"/>
      <name val="Aptos Narrow"/>
      <family val="2"/>
      <scheme val="minor"/>
    </font>
    <font>
      <b/>
      <sz val="12"/>
      <color theme="1"/>
      <name val="Arial"/>
      <family val="2"/>
    </font>
    <font>
      <sz val="12"/>
      <color theme="1"/>
      <name val="Arial"/>
      <family val="2"/>
    </font>
    <font>
      <b/>
      <sz val="8"/>
      <color theme="1"/>
      <name val="Arial"/>
      <family val="2"/>
    </font>
    <font>
      <b/>
      <sz val="28"/>
      <color theme="0"/>
      <name val="Arial"/>
      <family val="2"/>
    </font>
    <font>
      <b/>
      <sz val="28"/>
      <color rgb="FFC00000"/>
      <name val="Arial"/>
      <family val="2"/>
    </font>
    <font>
      <b/>
      <sz val="14"/>
      <color theme="0"/>
      <name val="Arial"/>
      <family val="2"/>
    </font>
    <font>
      <b/>
      <sz val="18"/>
      <color theme="0"/>
      <name val="Arial"/>
      <family val="2"/>
    </font>
    <font>
      <sz val="11"/>
      <color rgb="FFC00000"/>
      <name val="Aptos Narrow"/>
      <family val="2"/>
      <scheme val="minor"/>
    </font>
    <font>
      <sz val="10"/>
      <color theme="1"/>
      <name val="Aptos Narrow"/>
      <family val="2"/>
      <scheme val="minor"/>
    </font>
    <font>
      <sz val="10"/>
      <name val="Arial"/>
      <family val="2"/>
    </font>
    <font>
      <b/>
      <sz val="12"/>
      <name val="Arial"/>
      <family val="2"/>
    </font>
    <font>
      <sz val="10"/>
      <name val="Aptos"/>
      <family val="2"/>
    </font>
    <font>
      <sz val="9"/>
      <name val="Arial"/>
      <family val="2"/>
    </font>
    <font>
      <b/>
      <sz val="10"/>
      <color rgb="FFC00000"/>
      <name val="Arial"/>
      <family val="2"/>
    </font>
    <font>
      <sz val="14"/>
      <name val="Arial"/>
      <family val="2"/>
    </font>
    <font>
      <b/>
      <sz val="14"/>
      <name val="Arial"/>
      <family val="2"/>
    </font>
    <font>
      <b/>
      <sz val="10"/>
      <color theme="1"/>
      <name val="Aptos Narrow"/>
      <family val="2"/>
      <scheme val="minor"/>
    </font>
    <font>
      <b/>
      <sz val="28"/>
      <color theme="0"/>
      <name val="Aptos"/>
      <family val="2"/>
    </font>
    <font>
      <b/>
      <sz val="20"/>
      <color theme="0"/>
      <name val="Aptos"/>
      <family val="2"/>
    </font>
    <font>
      <b/>
      <sz val="14"/>
      <color theme="0"/>
      <name val="Aptos"/>
      <family val="2"/>
    </font>
    <font>
      <b/>
      <sz val="10"/>
      <name val="Arial"/>
      <family val="2"/>
    </font>
    <font>
      <sz val="14"/>
      <color theme="1"/>
      <name val="Aptos Narrow"/>
      <family val="2"/>
      <scheme val="minor"/>
    </font>
    <font>
      <sz val="9"/>
      <name val="Century Gothic"/>
      <family val="1"/>
    </font>
    <font>
      <b/>
      <sz val="14"/>
      <color rgb="FFC00000"/>
      <name val="Arial"/>
      <family val="2"/>
    </font>
    <font>
      <sz val="12"/>
      <color indexed="8"/>
      <name val="Arial"/>
      <family val="2"/>
    </font>
    <font>
      <sz val="28"/>
      <color theme="0"/>
      <name val="Arial"/>
      <family val="2"/>
    </font>
    <font>
      <sz val="24"/>
      <color rgb="FFC00000"/>
      <name val="Arial"/>
      <family val="2"/>
    </font>
    <font>
      <sz val="14"/>
      <color indexed="8"/>
      <name val="Arial"/>
      <family val="2"/>
    </font>
    <font>
      <b/>
      <sz val="12"/>
      <color theme="1"/>
      <name val="Arial"/>
      <family val="2"/>
    </font>
  </fonts>
  <fills count="12">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
      <patternFill patternType="solid">
        <fgColor rgb="FFFFCCCC"/>
        <bgColor indexed="64"/>
      </patternFill>
    </fill>
    <fill>
      <patternFill patternType="solid">
        <fgColor theme="1" tint="0.249977111117893"/>
        <bgColor indexed="64"/>
      </patternFill>
    </fill>
    <fill>
      <patternFill patternType="solid">
        <fgColor theme="1" tint="0.34998626667073579"/>
        <bgColor indexed="64"/>
      </patternFill>
    </fill>
    <fill>
      <patternFill patternType="darkHorizontal">
        <fgColor rgb="FFFFD9D9"/>
        <bgColor theme="0"/>
      </patternFill>
    </fill>
    <fill>
      <patternFill patternType="solid">
        <fgColor theme="0" tint="-4.9989318521683403E-2"/>
        <bgColor indexed="64"/>
      </patternFill>
    </fill>
    <fill>
      <patternFill patternType="solid">
        <fgColor rgb="FFD6D8D9"/>
        <bgColor indexed="64"/>
      </patternFill>
    </fill>
    <fill>
      <patternFill patternType="solid">
        <fgColor indexed="9"/>
        <bgColor indexed="64"/>
      </patternFill>
    </fill>
    <fill>
      <patternFill patternType="solid">
        <fgColor theme="0" tint="-0.249977111117893"/>
        <bgColor indexed="64"/>
      </patternFill>
    </fill>
  </fills>
  <borders count="38">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theme="0"/>
      </bottom>
      <diagonal/>
    </border>
    <border>
      <left/>
      <right/>
      <top/>
      <bottom style="thin">
        <color theme="0"/>
      </bottom>
      <diagonal/>
    </border>
    <border>
      <left style="thin">
        <color theme="1"/>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indexed="64"/>
      </right>
      <top/>
      <bottom style="thin">
        <color theme="0"/>
      </bottom>
      <diagonal/>
    </border>
    <border>
      <left/>
      <right style="thin">
        <color theme="0" tint="-0.24994659260841701"/>
      </right>
      <top/>
      <bottom style="thin">
        <color indexed="64"/>
      </bottom>
      <diagonal/>
    </border>
    <border>
      <left style="thin">
        <color theme="0" tint="-4.9989318521683403E-2"/>
      </left>
      <right style="thin">
        <color theme="0" tint="-4.9989318521683403E-2"/>
      </right>
      <top style="thin">
        <color theme="0"/>
      </top>
      <bottom style="thin">
        <color indexed="64"/>
      </bottom>
      <diagonal/>
    </border>
    <border>
      <left style="thin">
        <color indexed="64"/>
      </left>
      <right style="thin">
        <color theme="0"/>
      </right>
      <top/>
      <bottom style="thin">
        <color indexed="64"/>
      </bottom>
      <diagonal/>
    </border>
    <border>
      <left/>
      <right style="thin">
        <color indexed="64"/>
      </right>
      <top style="thin">
        <color theme="0"/>
      </top>
      <bottom style="thin">
        <color indexed="64"/>
      </bottom>
      <diagonal/>
    </border>
    <border>
      <left style="thin">
        <color theme="0"/>
      </left>
      <right style="thin">
        <color indexed="64"/>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indexed="64"/>
      </right>
      <top style="thin">
        <color theme="0" tint="-0.24994659260841701"/>
      </top>
      <bottom style="thin">
        <color theme="0" tint="-0.24994659260841701"/>
      </bottom>
      <diagonal/>
    </border>
    <border>
      <left/>
      <right style="thin">
        <color theme="1" tint="0.249977111117893"/>
      </right>
      <top style="thin">
        <color indexed="64"/>
      </top>
      <bottom style="thin">
        <color indexed="64"/>
      </bottom>
      <diagonal/>
    </border>
    <border>
      <left/>
      <right style="thin">
        <color theme="0"/>
      </right>
      <top/>
      <bottom style="thin">
        <color indexed="64"/>
      </bottom>
      <diagonal/>
    </border>
    <border>
      <left/>
      <right style="thin">
        <color theme="0"/>
      </right>
      <top/>
      <bottom/>
      <diagonal/>
    </border>
    <border>
      <left style="thin">
        <color indexed="64"/>
      </left>
      <right style="thin">
        <color indexed="64"/>
      </right>
      <top/>
      <bottom style="thin">
        <color indexed="64"/>
      </bottom>
      <diagonal/>
    </border>
    <border>
      <left style="thin">
        <color theme="0"/>
      </left>
      <right style="thin">
        <color theme="0"/>
      </right>
      <top/>
      <bottom/>
      <diagonal/>
    </border>
    <border>
      <left style="thin">
        <color theme="0"/>
      </left>
      <right style="thin">
        <color indexed="64"/>
      </right>
      <top style="thin">
        <color theme="0"/>
      </top>
      <bottom/>
      <diagonal/>
    </border>
    <border>
      <left style="thin">
        <color theme="0"/>
      </left>
      <right style="thin">
        <color theme="0"/>
      </right>
      <top/>
      <bottom style="thin">
        <color indexed="64"/>
      </bottom>
      <diagonal/>
    </border>
    <border>
      <left style="thin">
        <color theme="0"/>
      </left>
      <right style="thin">
        <color indexed="64"/>
      </right>
      <top style="thin">
        <color theme="0"/>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8">
    <xf numFmtId="0" fontId="0" fillId="0" borderId="0" xfId="0"/>
    <xf numFmtId="0" fontId="2" fillId="2" borderId="1" xfId="0" applyFont="1" applyFill="1" applyBorder="1" applyAlignment="1">
      <alignment horizontal="left" indent="1"/>
    </xf>
    <xf numFmtId="0" fontId="3" fillId="0" borderId="0" xfId="0" applyFont="1" applyAlignment="1">
      <alignment horizontal="left" indent="1"/>
    </xf>
    <xf numFmtId="0" fontId="2" fillId="0" borderId="0" xfId="0" applyFont="1" applyAlignment="1">
      <alignment horizontal="left" indent="1"/>
    </xf>
    <xf numFmtId="0" fontId="4" fillId="0" borderId="0" xfId="0" applyFont="1" applyAlignment="1">
      <alignment horizontal="left" indent="1"/>
    </xf>
    <xf numFmtId="0" fontId="0" fillId="0" borderId="8" xfId="0" applyBorder="1"/>
    <xf numFmtId="0" fontId="9" fillId="0" borderId="8" xfId="0" applyFont="1" applyBorder="1"/>
    <xf numFmtId="0" fontId="10" fillId="0" borderId="8" xfId="0" applyFont="1" applyBorder="1"/>
    <xf numFmtId="0" fontId="0" fillId="0" borderId="8" xfId="0" applyBorder="1" applyAlignment="1">
      <alignment horizontal="center"/>
    </xf>
    <xf numFmtId="0" fontId="11" fillId="6" borderId="12" xfId="0" applyFont="1" applyFill="1" applyBorder="1"/>
    <xf numFmtId="0" fontId="2" fillId="2" borderId="15" xfId="0" applyFont="1" applyFill="1" applyBorder="1" applyAlignment="1">
      <alignment horizontal="center" vertical="top" wrapText="1"/>
    </xf>
    <xf numFmtId="10" fontId="12" fillId="2" borderId="16" xfId="0" applyNumberFormat="1" applyFont="1" applyFill="1" applyBorder="1" applyAlignment="1">
      <alignment horizontal="center" vertical="top" wrapText="1"/>
    </xf>
    <xf numFmtId="10" fontId="12" fillId="2" borderId="17" xfId="0" applyNumberFormat="1" applyFont="1" applyFill="1" applyBorder="1" applyAlignment="1">
      <alignment horizontal="center" vertical="top" wrapText="1"/>
    </xf>
    <xf numFmtId="0" fontId="13" fillId="7" borderId="0" xfId="0" applyFont="1" applyFill="1" applyAlignment="1">
      <alignment vertical="center"/>
    </xf>
    <xf numFmtId="0" fontId="16" fillId="0" borderId="18" xfId="0" applyFont="1" applyBorder="1" applyAlignment="1">
      <alignment horizontal="left" vertical="center" wrapText="1" indent="1"/>
    </xf>
    <xf numFmtId="0" fontId="11" fillId="0" borderId="19"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21" xfId="0" quotePrefix="1" applyFont="1" applyBorder="1" applyAlignment="1">
      <alignment horizontal="center" vertical="center" wrapText="1"/>
    </xf>
    <xf numFmtId="0" fontId="18" fillId="3" borderId="2"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0" fillId="0" borderId="0" xfId="0" applyFont="1"/>
    <xf numFmtId="0" fontId="18" fillId="3" borderId="1" xfId="0" applyFont="1" applyFill="1" applyBorder="1" applyAlignment="1">
      <alignment horizontal="center" vertical="center" wrapText="1"/>
    </xf>
    <xf numFmtId="0" fontId="18" fillId="3" borderId="10" xfId="0" applyFont="1" applyFill="1" applyBorder="1" applyAlignment="1">
      <alignment horizontal="center" vertical="center" wrapText="1"/>
    </xf>
    <xf numFmtId="0" fontId="18" fillId="3" borderId="11" xfId="0" applyFont="1" applyFill="1" applyBorder="1" applyAlignment="1">
      <alignment horizontal="center" vertical="center" wrapText="1"/>
    </xf>
    <xf numFmtId="0" fontId="10" fillId="0" borderId="0" xfId="0" applyFont="1" applyAlignment="1">
      <alignment vertical="center" wrapText="1"/>
    </xf>
    <xf numFmtId="0" fontId="10"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10" fillId="4" borderId="5" xfId="0" applyFont="1" applyFill="1" applyBorder="1" applyAlignment="1">
      <alignment horizontal="center" vertical="center" wrapText="1"/>
    </xf>
    <xf numFmtId="0" fontId="10" fillId="0" borderId="0" xfId="0" applyFont="1" applyAlignment="1">
      <alignment horizontal="center" vertical="center" wrapText="1"/>
    </xf>
    <xf numFmtId="0" fontId="10" fillId="0" borderId="6" xfId="0" applyFont="1" applyBorder="1" applyAlignment="1">
      <alignment horizontal="center" vertical="center" wrapText="1"/>
    </xf>
    <xf numFmtId="0" fontId="18" fillId="0" borderId="0" xfId="0" applyFont="1" applyAlignment="1">
      <alignment horizontal="center" vertical="center" wrapText="1"/>
    </xf>
    <xf numFmtId="0" fontId="18" fillId="2" borderId="7" xfId="0" applyFont="1" applyFill="1" applyBorder="1" applyAlignment="1">
      <alignment horizontal="center" vertical="center" wrapText="1"/>
    </xf>
    <xf numFmtId="0" fontId="18" fillId="2" borderId="8"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18" fillId="3" borderId="0" xfId="0" applyFont="1" applyFill="1" applyAlignment="1">
      <alignment horizontal="center" vertical="center" wrapText="1"/>
    </xf>
    <xf numFmtId="0" fontId="10" fillId="4" borderId="3" xfId="0" applyFont="1" applyFill="1" applyBorder="1" applyAlignment="1">
      <alignment horizontal="center" vertical="center" wrapText="1"/>
    </xf>
    <xf numFmtId="0" fontId="18" fillId="3" borderId="6" xfId="0" applyFont="1" applyFill="1" applyBorder="1" applyAlignment="1">
      <alignment horizontal="center" vertical="center" wrapText="1"/>
    </xf>
    <xf numFmtId="0" fontId="18" fillId="8" borderId="7" xfId="0" applyFont="1" applyFill="1" applyBorder="1" applyAlignment="1">
      <alignment horizontal="center" vertical="center" wrapText="1"/>
    </xf>
    <xf numFmtId="0" fontId="10" fillId="8" borderId="8" xfId="0" applyFont="1" applyFill="1" applyBorder="1" applyAlignment="1">
      <alignment vertical="center" wrapText="1"/>
    </xf>
    <xf numFmtId="0" fontId="18" fillId="8" borderId="8" xfId="0" applyFont="1" applyFill="1" applyBorder="1" applyAlignment="1">
      <alignment horizontal="center" vertical="center" wrapText="1"/>
    </xf>
    <xf numFmtId="0" fontId="10" fillId="8" borderId="9" xfId="0" applyFont="1" applyFill="1" applyBorder="1" applyAlignment="1">
      <alignment vertical="center" wrapText="1"/>
    </xf>
    <xf numFmtId="0" fontId="10" fillId="0" borderId="24" xfId="0" applyFont="1" applyBorder="1" applyAlignment="1">
      <alignment vertical="center" wrapText="1"/>
    </xf>
    <xf numFmtId="0" fontId="10" fillId="8" borderId="7" xfId="0" applyFont="1" applyFill="1" applyBorder="1" applyAlignment="1">
      <alignment horizontal="center" vertical="center" wrapText="1"/>
    </xf>
    <xf numFmtId="0" fontId="10" fillId="8" borderId="8" xfId="0" applyFont="1" applyFill="1" applyBorder="1" applyAlignment="1">
      <alignment horizontal="center" vertical="center" wrapText="1"/>
    </xf>
    <xf numFmtId="0" fontId="10" fillId="8" borderId="9" xfId="0" applyFont="1" applyFill="1" applyBorder="1" applyAlignment="1">
      <alignment horizontal="center" vertical="center" wrapText="1"/>
    </xf>
    <xf numFmtId="0" fontId="10" fillId="4" borderId="25" xfId="0" applyFont="1" applyFill="1" applyBorder="1" applyAlignment="1">
      <alignment horizontal="center" vertical="center" wrapText="1"/>
    </xf>
    <xf numFmtId="0" fontId="10" fillId="0" borderId="26" xfId="0" applyFont="1" applyBorder="1" applyAlignment="1">
      <alignment horizontal="center" vertical="center" wrapText="1"/>
    </xf>
    <xf numFmtId="0" fontId="10" fillId="0" borderId="27" xfId="0" applyFont="1" applyBorder="1" applyAlignment="1">
      <alignment horizontal="center" vertical="center" wrapText="1"/>
    </xf>
    <xf numFmtId="0" fontId="11" fillId="6" borderId="24" xfId="0" applyFont="1" applyFill="1" applyBorder="1"/>
    <xf numFmtId="0" fontId="0" fillId="0" borderId="1" xfId="0" applyBorder="1"/>
    <xf numFmtId="0" fontId="2" fillId="9" borderId="23" xfId="0" applyFont="1" applyFill="1" applyBorder="1" applyAlignment="1">
      <alignment horizontal="center" vertical="center" wrapText="1"/>
    </xf>
    <xf numFmtId="0" fontId="14" fillId="0" borderId="23" xfId="0" applyFont="1" applyBorder="1" applyAlignment="1">
      <alignment horizontal="center" vertical="center"/>
    </xf>
    <xf numFmtId="0" fontId="20" fillId="5" borderId="0" xfId="0" applyFont="1" applyFill="1" applyAlignment="1">
      <alignment horizontal="center" vertical="center" wrapText="1"/>
    </xf>
    <xf numFmtId="0" fontId="0" fillId="0" borderId="7" xfId="0" applyBorder="1"/>
    <xf numFmtId="0" fontId="0" fillId="0" borderId="9" xfId="0" applyBorder="1"/>
    <xf numFmtId="0" fontId="11" fillId="0" borderId="8" xfId="0" applyFont="1" applyBorder="1" applyAlignment="1">
      <alignment horizontal="left" vertical="center" wrapText="1" indent="1"/>
    </xf>
    <xf numFmtId="4" fontId="17" fillId="2" borderId="20" xfId="0" applyNumberFormat="1" applyFont="1" applyFill="1" applyBorder="1" applyAlignment="1">
      <alignment horizontal="center" vertical="center"/>
    </xf>
    <xf numFmtId="4" fontId="17" fillId="2" borderId="29" xfId="0" applyNumberFormat="1" applyFont="1" applyFill="1" applyBorder="1" applyAlignment="1">
      <alignment horizontal="center" vertical="center"/>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6" fillId="2" borderId="1" xfId="0" applyFont="1" applyFill="1" applyBorder="1" applyAlignment="1">
      <alignment vertical="center"/>
    </xf>
    <xf numFmtId="0" fontId="7" fillId="2" borderId="1" xfId="0" applyFont="1" applyFill="1" applyBorder="1" applyAlignment="1">
      <alignment horizontal="left" vertical="center"/>
    </xf>
    <xf numFmtId="0" fontId="7" fillId="2" borderId="1" xfId="0" applyFont="1" applyFill="1" applyBorder="1" applyAlignment="1">
      <alignment horizontal="left" vertical="center" wrapText="1"/>
    </xf>
    <xf numFmtId="10" fontId="7" fillId="6" borderId="16" xfId="0" quotePrefix="1" applyNumberFormat="1" applyFont="1" applyFill="1" applyBorder="1" applyAlignment="1">
      <alignment horizontal="center" vertical="center"/>
    </xf>
    <xf numFmtId="4" fontId="7" fillId="6" borderId="22" xfId="1" quotePrefix="1" applyNumberFormat="1" applyFont="1" applyFill="1" applyBorder="1" applyAlignment="1">
      <alignment horizontal="center" vertical="center"/>
    </xf>
    <xf numFmtId="0" fontId="0" fillId="5" borderId="7" xfId="0" applyFill="1" applyBorder="1"/>
    <xf numFmtId="0" fontId="0" fillId="5" borderId="8" xfId="0" applyFill="1" applyBorder="1"/>
    <xf numFmtId="0" fontId="0" fillId="5" borderId="9" xfId="0" applyFill="1" applyBorder="1"/>
    <xf numFmtId="0" fontId="19" fillId="2" borderId="1" xfId="0" applyFont="1" applyFill="1" applyBorder="1" applyAlignment="1">
      <alignment horizontal="center" vertical="center" wrapText="1"/>
    </xf>
    <xf numFmtId="0" fontId="14" fillId="5" borderId="7" xfId="0" applyFont="1" applyFill="1" applyBorder="1" applyAlignment="1">
      <alignment horizontal="center" vertical="center"/>
    </xf>
    <xf numFmtId="0" fontId="15" fillId="5" borderId="8" xfId="0" quotePrefix="1" applyFont="1" applyFill="1" applyBorder="1" applyAlignment="1">
      <alignment horizontal="center" vertical="center" wrapText="1"/>
    </xf>
    <xf numFmtId="0" fontId="12" fillId="0" borderId="8" xfId="0" quotePrefix="1" applyFont="1" applyBorder="1" applyAlignment="1">
      <alignment horizontal="center" vertical="center" wrapText="1"/>
    </xf>
    <xf numFmtId="0" fontId="0" fillId="0" borderId="0" xfId="0" applyAlignment="1">
      <alignment horizontal="center"/>
    </xf>
    <xf numFmtId="0" fontId="24" fillId="10" borderId="31" xfId="0" applyFont="1" applyFill="1" applyBorder="1" applyAlignment="1" applyProtection="1">
      <alignment horizontal="center" vertical="center"/>
      <protection hidden="1"/>
    </xf>
    <xf numFmtId="0" fontId="0" fillId="0" borderId="1" xfId="0" applyBorder="1" applyAlignment="1">
      <alignment horizontal="center"/>
    </xf>
    <xf numFmtId="0" fontId="24" fillId="10" borderId="23" xfId="0" applyFont="1" applyFill="1" applyBorder="1" applyAlignment="1" applyProtection="1">
      <alignment horizontal="center" vertical="center"/>
      <protection hidden="1"/>
    </xf>
    <xf numFmtId="0" fontId="24" fillId="10" borderId="12" xfId="0" applyFont="1" applyFill="1" applyBorder="1" applyAlignment="1" applyProtection="1">
      <alignment horizontal="center" vertical="center"/>
      <protection hidden="1"/>
    </xf>
    <xf numFmtId="0" fontId="25" fillId="0" borderId="7" xfId="0" applyFont="1" applyBorder="1" applyAlignment="1">
      <alignment horizontal="center" vertical="center" wrapText="1"/>
    </xf>
    <xf numFmtId="0" fontId="17" fillId="0" borderId="7" xfId="0" applyFont="1" applyBorder="1" applyAlignment="1">
      <alignment horizontal="center" vertical="center"/>
    </xf>
    <xf numFmtId="0" fontId="26" fillId="0" borderId="9" xfId="0" applyFont="1" applyBorder="1" applyAlignment="1">
      <alignment horizontal="left" vertical="center" wrapText="1"/>
    </xf>
    <xf numFmtId="0" fontId="26" fillId="0" borderId="9" xfId="0" quotePrefix="1" applyFont="1" applyBorder="1" applyAlignment="1">
      <alignment horizontal="left" vertical="center" wrapText="1"/>
    </xf>
    <xf numFmtId="0" fontId="27" fillId="2" borderId="1" xfId="0" applyFont="1" applyFill="1" applyBorder="1" applyAlignment="1">
      <alignment vertical="center"/>
    </xf>
    <xf numFmtId="0" fontId="0" fillId="0" borderId="1" xfId="0" applyBorder="1" applyAlignment="1">
      <alignment wrapText="1"/>
    </xf>
    <xf numFmtId="0" fontId="28" fillId="5" borderId="8" xfId="0" applyFont="1" applyFill="1" applyBorder="1" applyAlignment="1">
      <alignment horizontal="center" vertical="center"/>
    </xf>
    <xf numFmtId="0" fontId="0" fillId="0" borderId="0" xfId="0" applyAlignment="1">
      <alignment wrapText="1"/>
    </xf>
    <xf numFmtId="0" fontId="25" fillId="0" borderId="11" xfId="0" applyFont="1" applyBorder="1" applyAlignment="1">
      <alignment horizontal="center" vertical="center" wrapText="1"/>
    </xf>
    <xf numFmtId="0" fontId="24" fillId="0" borderId="24" xfId="0" applyFont="1" applyBorder="1" applyAlignment="1" applyProtection="1">
      <alignment horizontal="left" vertical="center"/>
      <protection hidden="1"/>
    </xf>
    <xf numFmtId="0" fontId="24" fillId="0" borderId="23" xfId="0" applyFont="1" applyBorder="1" applyAlignment="1" applyProtection="1">
      <alignment horizontal="left" vertical="center"/>
      <protection hidden="1"/>
    </xf>
    <xf numFmtId="164" fontId="23" fillId="0" borderId="0" xfId="1" applyNumberFormat="1" applyFont="1" applyFill="1" applyAlignment="1">
      <alignment horizontal="center" vertical="center"/>
    </xf>
    <xf numFmtId="0" fontId="2" fillId="11" borderId="15" xfId="0" applyFont="1" applyFill="1" applyBorder="1" applyAlignment="1">
      <alignment horizontal="center" vertical="top" wrapText="1"/>
    </xf>
    <xf numFmtId="10" fontId="12" fillId="11" borderId="16" xfId="0" applyNumberFormat="1" applyFont="1" applyFill="1" applyBorder="1" applyAlignment="1">
      <alignment horizontal="center" vertical="top" wrapText="1"/>
    </xf>
    <xf numFmtId="10" fontId="12" fillId="11" borderId="17" xfId="0" applyNumberFormat="1" applyFont="1" applyFill="1" applyBorder="1" applyAlignment="1">
      <alignment horizontal="center" vertical="top" wrapText="1"/>
    </xf>
    <xf numFmtId="0" fontId="14" fillId="11" borderId="23" xfId="0" applyFont="1" applyFill="1" applyBorder="1" applyAlignment="1">
      <alignment horizontal="center" vertical="center"/>
    </xf>
    <xf numFmtId="0" fontId="25" fillId="11" borderId="7" xfId="0" applyFont="1" applyFill="1" applyBorder="1" applyAlignment="1">
      <alignment horizontal="center" vertical="center"/>
    </xf>
    <xf numFmtId="0" fontId="14" fillId="11" borderId="7" xfId="0" applyFont="1" applyFill="1" applyBorder="1" applyAlignment="1">
      <alignment horizontal="center" vertical="center"/>
    </xf>
    <xf numFmtId="0" fontId="22" fillId="11" borderId="8" xfId="0" quotePrefix="1" applyFont="1" applyFill="1" applyBorder="1" applyAlignment="1">
      <alignment horizontal="center" vertical="center" wrapText="1"/>
    </xf>
    <xf numFmtId="0" fontId="26" fillId="11" borderId="9" xfId="0" applyFont="1" applyFill="1" applyBorder="1" applyAlignment="1">
      <alignment horizontal="left" vertical="center" wrapText="1"/>
    </xf>
    <xf numFmtId="4" fontId="17" fillId="11" borderId="29" xfId="0" applyNumberFormat="1" applyFont="1" applyFill="1" applyBorder="1" applyAlignment="1">
      <alignment horizontal="center" vertical="center"/>
    </xf>
    <xf numFmtId="10" fontId="7" fillId="11" borderId="16" xfId="0" quotePrefix="1" applyNumberFormat="1" applyFont="1" applyFill="1" applyBorder="1" applyAlignment="1">
      <alignment horizontal="center" vertical="center"/>
    </xf>
    <xf numFmtId="4" fontId="7" fillId="11" borderId="22" xfId="1" quotePrefix="1" applyNumberFormat="1" applyFont="1" applyFill="1" applyBorder="1" applyAlignment="1">
      <alignment horizontal="center" vertical="center"/>
    </xf>
    <xf numFmtId="0" fontId="29" fillId="5" borderId="8" xfId="0" applyFont="1" applyFill="1" applyBorder="1" applyAlignment="1">
      <alignment horizontal="left" vertical="center" wrapText="1"/>
    </xf>
    <xf numFmtId="0" fontId="14" fillId="0" borderId="12" xfId="0" applyFont="1" applyBorder="1" applyAlignment="1">
      <alignment horizontal="center" vertical="center"/>
    </xf>
    <xf numFmtId="0" fontId="25" fillId="0" borderId="3" xfId="0" applyFont="1" applyBorder="1" applyAlignment="1">
      <alignment horizontal="center" vertical="center"/>
    </xf>
    <xf numFmtId="0" fontId="12" fillId="0" borderId="2" xfId="0" quotePrefix="1" applyFont="1" applyBorder="1" applyAlignment="1">
      <alignment horizontal="center" vertical="center" wrapText="1"/>
    </xf>
    <xf numFmtId="0" fontId="26" fillId="0" borderId="4" xfId="0" applyFont="1" applyBorder="1" applyAlignment="1">
      <alignment horizontal="left" vertical="center" wrapText="1"/>
    </xf>
    <xf numFmtId="4" fontId="17" fillId="2" borderId="30" xfId="0" applyNumberFormat="1" applyFont="1" applyFill="1" applyBorder="1" applyAlignment="1">
      <alignment horizontal="center" vertical="center"/>
    </xf>
    <xf numFmtId="10" fontId="7" fillId="6" borderId="32" xfId="0" quotePrefix="1" applyNumberFormat="1" applyFont="1" applyFill="1" applyBorder="1" applyAlignment="1">
      <alignment horizontal="center" vertical="center"/>
    </xf>
    <xf numFmtId="4" fontId="7" fillId="6" borderId="33" xfId="1" quotePrefix="1" applyNumberFormat="1" applyFont="1" applyFill="1" applyBorder="1" applyAlignment="1">
      <alignment horizontal="center" vertical="center"/>
    </xf>
    <xf numFmtId="0" fontId="14" fillId="5" borderId="8" xfId="0" applyFont="1" applyFill="1" applyBorder="1" applyAlignment="1">
      <alignment horizontal="center" vertical="center"/>
    </xf>
    <xf numFmtId="4" fontId="17" fillId="5" borderId="8" xfId="0" applyNumberFormat="1" applyFont="1" applyFill="1" applyBorder="1" applyAlignment="1">
      <alignment horizontal="center" vertical="center"/>
    </xf>
    <xf numFmtId="10" fontId="7" fillId="5" borderId="8" xfId="0" quotePrefix="1" applyNumberFormat="1" applyFont="1" applyFill="1" applyBorder="1" applyAlignment="1">
      <alignment horizontal="center" vertical="center"/>
    </xf>
    <xf numFmtId="4" fontId="7" fillId="5" borderId="9" xfId="1" quotePrefix="1" applyNumberFormat="1" applyFont="1" applyFill="1" applyBorder="1" applyAlignment="1">
      <alignment horizontal="center" vertical="center"/>
    </xf>
    <xf numFmtId="0" fontId="10" fillId="0" borderId="26" xfId="0" quotePrefix="1" applyFont="1" applyBorder="1" applyAlignment="1">
      <alignment horizontal="center" vertical="center" wrapText="1"/>
    </xf>
    <xf numFmtId="0" fontId="10" fillId="4" borderId="25" xfId="0" quotePrefix="1" applyFont="1" applyFill="1" applyBorder="1" applyAlignment="1">
      <alignment horizontal="center" vertical="center" wrapText="1"/>
    </xf>
    <xf numFmtId="0" fontId="25" fillId="11" borderId="5" xfId="0" applyFont="1" applyFill="1" applyBorder="1" applyAlignment="1">
      <alignment horizontal="center" vertical="top" wrapText="1"/>
    </xf>
    <xf numFmtId="0" fontId="25" fillId="11" borderId="7" xfId="0" applyFont="1" applyFill="1" applyBorder="1" applyAlignment="1">
      <alignment horizontal="center" vertical="top" wrapText="1"/>
    </xf>
    <xf numFmtId="0" fontId="25" fillId="11" borderId="0" xfId="0" applyFont="1" applyFill="1" applyAlignment="1">
      <alignment horizontal="center" vertical="top" wrapText="1"/>
    </xf>
    <xf numFmtId="0" fontId="25" fillId="11" borderId="0" xfId="0" applyFont="1" applyFill="1" applyAlignment="1">
      <alignment horizontal="left" vertical="top" wrapText="1"/>
    </xf>
    <xf numFmtId="0" fontId="25" fillId="2" borderId="14" xfId="0" applyFont="1" applyFill="1" applyBorder="1" applyAlignment="1">
      <alignment horizontal="center" vertical="top" wrapText="1"/>
    </xf>
    <xf numFmtId="0" fontId="25" fillId="2" borderId="14" xfId="0" applyFont="1" applyFill="1" applyBorder="1" applyAlignment="1">
      <alignment horizontal="left" vertical="top" wrapText="1" indent="2"/>
    </xf>
    <xf numFmtId="0" fontId="25" fillId="2" borderId="14" xfId="0" applyFont="1" applyFill="1" applyBorder="1" applyAlignment="1">
      <alignment horizontal="left" vertical="top" wrapText="1"/>
    </xf>
    <xf numFmtId="0" fontId="25" fillId="2" borderId="13" xfId="0" applyFont="1" applyFill="1" applyBorder="1" applyAlignment="1">
      <alignment horizontal="center" vertical="top" wrapText="1"/>
    </xf>
    <xf numFmtId="0" fontId="8" fillId="5" borderId="1" xfId="0" applyFont="1" applyFill="1" applyBorder="1" applyAlignment="1">
      <alignment horizontal="center" vertical="center" wrapText="1"/>
    </xf>
    <xf numFmtId="0" fontId="7" fillId="2" borderId="1" xfId="0" applyFont="1" applyFill="1" applyBorder="1" applyAlignment="1">
      <alignment vertical="center" wrapText="1"/>
    </xf>
    <xf numFmtId="0" fontId="7" fillId="2" borderId="11" xfId="0" applyFont="1" applyFill="1" applyBorder="1" applyAlignment="1">
      <alignment vertical="center" wrapText="1"/>
    </xf>
    <xf numFmtId="0" fontId="30" fillId="9" borderId="23" xfId="0" applyFont="1" applyFill="1" applyBorder="1" applyAlignment="1">
      <alignment horizontal="center" vertical="center" wrapText="1"/>
    </xf>
    <xf numFmtId="10" fontId="7" fillId="6" borderId="34" xfId="0" quotePrefix="1" applyNumberFormat="1" applyFont="1" applyFill="1" applyBorder="1" applyAlignment="1">
      <alignment horizontal="center" vertical="center"/>
    </xf>
    <xf numFmtId="4" fontId="7" fillId="6" borderId="35" xfId="1" quotePrefix="1" applyNumberFormat="1" applyFont="1" applyFill="1" applyBorder="1" applyAlignment="1">
      <alignment horizontal="center" vertical="center"/>
    </xf>
    <xf numFmtId="4" fontId="7" fillId="6" borderId="17" xfId="1" quotePrefix="1" applyNumberFormat="1" applyFont="1" applyFill="1" applyBorder="1" applyAlignment="1">
      <alignment horizontal="center" vertical="center"/>
    </xf>
    <xf numFmtId="10" fontId="7" fillId="11" borderId="36" xfId="0" quotePrefix="1" applyNumberFormat="1" applyFont="1" applyFill="1" applyBorder="1" applyAlignment="1">
      <alignment horizontal="center" vertical="center"/>
    </xf>
    <xf numFmtId="4" fontId="7" fillId="11" borderId="37" xfId="1" quotePrefix="1" applyNumberFormat="1" applyFont="1" applyFill="1" applyBorder="1" applyAlignment="1">
      <alignment horizontal="center" vertical="center"/>
    </xf>
    <xf numFmtId="0" fontId="23" fillId="0" borderId="0" xfId="0" applyFont="1" applyAlignment="1">
      <alignment horizontal="center" vertical="center"/>
    </xf>
    <xf numFmtId="0" fontId="7" fillId="6" borderId="7" xfId="0" applyFont="1" applyFill="1" applyBorder="1" applyAlignment="1">
      <alignment horizontal="center" vertical="center" wrapText="1"/>
    </xf>
    <xf numFmtId="0" fontId="7" fillId="6" borderId="28" xfId="0" applyFont="1" applyFill="1" applyBorder="1" applyAlignment="1">
      <alignment horizontal="center" vertical="center" wrapText="1"/>
    </xf>
    <xf numFmtId="0" fontId="21" fillId="6" borderId="7" xfId="0" applyFont="1" applyFill="1" applyBorder="1" applyAlignment="1">
      <alignment horizontal="center" vertical="center" wrapText="1"/>
    </xf>
    <xf numFmtId="0" fontId="21" fillId="6" borderId="28" xfId="0"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colors>
    <mruColors>
      <color rgb="FF04A48E"/>
      <color rgb="FF3F3A5E"/>
      <color rgb="FF003366"/>
      <color rgb="FF4079BD"/>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8" Type="http://schemas.openxmlformats.org/officeDocument/2006/relationships/image" Target="../media/image59.png"/><Relationship Id="rId13" Type="http://schemas.openxmlformats.org/officeDocument/2006/relationships/image" Target="../media/image64.png"/><Relationship Id="rId3" Type="http://schemas.openxmlformats.org/officeDocument/2006/relationships/image" Target="../media/image54.png"/><Relationship Id="rId7" Type="http://schemas.openxmlformats.org/officeDocument/2006/relationships/image" Target="../media/image58.png"/><Relationship Id="rId12" Type="http://schemas.openxmlformats.org/officeDocument/2006/relationships/image" Target="../media/image63.png"/><Relationship Id="rId2" Type="http://schemas.openxmlformats.org/officeDocument/2006/relationships/image" Target="../media/image53.png"/><Relationship Id="rId1" Type="http://schemas.openxmlformats.org/officeDocument/2006/relationships/image" Target="../media/image52.png"/><Relationship Id="rId6" Type="http://schemas.openxmlformats.org/officeDocument/2006/relationships/image" Target="../media/image57.png"/><Relationship Id="rId11" Type="http://schemas.openxmlformats.org/officeDocument/2006/relationships/image" Target="../media/image62.png"/><Relationship Id="rId5" Type="http://schemas.openxmlformats.org/officeDocument/2006/relationships/image" Target="../media/image56.png"/><Relationship Id="rId10" Type="http://schemas.openxmlformats.org/officeDocument/2006/relationships/image" Target="../media/image61.png"/><Relationship Id="rId4" Type="http://schemas.openxmlformats.org/officeDocument/2006/relationships/image" Target="../media/image55.png"/><Relationship Id="rId9" Type="http://schemas.openxmlformats.org/officeDocument/2006/relationships/image" Target="../media/image60.png"/></Relationships>
</file>

<file path=xl/drawings/drawing1.xml><?xml version="1.0" encoding="utf-8"?>
<xdr:wsDr xmlns:xdr="http://schemas.openxmlformats.org/drawingml/2006/spreadsheetDrawing" xmlns:a="http://schemas.openxmlformats.org/drawingml/2006/main">
  <xdr:twoCellAnchor editAs="oneCell">
    <xdr:from>
      <xdr:col>1</xdr:col>
      <xdr:colOff>268941</xdr:colOff>
      <xdr:row>60</xdr:row>
      <xdr:rowOff>22412</xdr:rowOff>
    </xdr:from>
    <xdr:to>
      <xdr:col>1</xdr:col>
      <xdr:colOff>1577801</xdr:colOff>
      <xdr:row>60</xdr:row>
      <xdr:rowOff>1200337</xdr:rowOff>
    </xdr:to>
    <xdr:pic>
      <xdr:nvPicPr>
        <xdr:cNvPr id="2" name="Picture 1">
          <a:extLst>
            <a:ext uri="{FF2B5EF4-FFF2-40B4-BE49-F238E27FC236}">
              <a16:creationId xmlns:a16="http://schemas.microsoft.com/office/drawing/2014/main" id="{7B677BD4-CB8B-476C-8896-777932EF8536}"/>
            </a:ext>
          </a:extLst>
        </xdr:cNvPr>
        <xdr:cNvPicPr>
          <a:picLocks noChangeAspect="1"/>
        </xdr:cNvPicPr>
      </xdr:nvPicPr>
      <xdr:blipFill>
        <a:blip xmlns:r="http://schemas.openxmlformats.org/officeDocument/2006/relationships" r:embed="rId1"/>
        <a:stretch>
          <a:fillRect/>
        </a:stretch>
      </xdr:blipFill>
      <xdr:spPr>
        <a:xfrm>
          <a:off x="582706" y="65352706"/>
          <a:ext cx="1308860" cy="1177925"/>
        </a:xfrm>
        <a:prstGeom prst="rect">
          <a:avLst/>
        </a:prstGeom>
      </xdr:spPr>
    </xdr:pic>
    <xdr:clientData/>
  </xdr:twoCellAnchor>
  <xdr:twoCellAnchor editAs="oneCell">
    <xdr:from>
      <xdr:col>1</xdr:col>
      <xdr:colOff>549089</xdr:colOff>
      <xdr:row>61</xdr:row>
      <xdr:rowOff>145676</xdr:rowOff>
    </xdr:from>
    <xdr:to>
      <xdr:col>1</xdr:col>
      <xdr:colOff>1216355</xdr:colOff>
      <xdr:row>61</xdr:row>
      <xdr:rowOff>1133558</xdr:rowOff>
    </xdr:to>
    <xdr:pic>
      <xdr:nvPicPr>
        <xdr:cNvPr id="3" name="Picture 2">
          <a:extLst>
            <a:ext uri="{FF2B5EF4-FFF2-40B4-BE49-F238E27FC236}">
              <a16:creationId xmlns:a16="http://schemas.microsoft.com/office/drawing/2014/main" id="{5135AF43-C5CA-48BC-B7B6-3DA654AA7358}"/>
            </a:ext>
          </a:extLst>
        </xdr:cNvPr>
        <xdr:cNvPicPr>
          <a:picLocks noChangeAspect="1"/>
        </xdr:cNvPicPr>
      </xdr:nvPicPr>
      <xdr:blipFill>
        <a:blip xmlns:r="http://schemas.openxmlformats.org/officeDocument/2006/relationships" r:embed="rId2"/>
        <a:stretch>
          <a:fillRect/>
        </a:stretch>
      </xdr:blipFill>
      <xdr:spPr>
        <a:xfrm>
          <a:off x="862854" y="66742235"/>
          <a:ext cx="667266" cy="987882"/>
        </a:xfrm>
        <a:prstGeom prst="rect">
          <a:avLst/>
        </a:prstGeom>
      </xdr:spPr>
    </xdr:pic>
    <xdr:clientData/>
  </xdr:twoCellAnchor>
  <xdr:twoCellAnchor editAs="oneCell">
    <xdr:from>
      <xdr:col>1</xdr:col>
      <xdr:colOff>459442</xdr:colOff>
      <xdr:row>58</xdr:row>
      <xdr:rowOff>145676</xdr:rowOff>
    </xdr:from>
    <xdr:to>
      <xdr:col>1</xdr:col>
      <xdr:colOff>1581577</xdr:colOff>
      <xdr:row>58</xdr:row>
      <xdr:rowOff>1141760</xdr:rowOff>
    </xdr:to>
    <xdr:pic>
      <xdr:nvPicPr>
        <xdr:cNvPr id="4" name="Picture 3">
          <a:extLst>
            <a:ext uri="{FF2B5EF4-FFF2-40B4-BE49-F238E27FC236}">
              <a16:creationId xmlns:a16="http://schemas.microsoft.com/office/drawing/2014/main" id="{2BC3BDF1-FBB3-4ECA-B5AB-D7066B480816}"/>
            </a:ext>
          </a:extLst>
        </xdr:cNvPr>
        <xdr:cNvPicPr>
          <a:picLocks noChangeAspect="1"/>
        </xdr:cNvPicPr>
      </xdr:nvPicPr>
      <xdr:blipFill>
        <a:blip xmlns:r="http://schemas.openxmlformats.org/officeDocument/2006/relationships" r:embed="rId3"/>
        <a:stretch>
          <a:fillRect/>
        </a:stretch>
      </xdr:blipFill>
      <xdr:spPr>
        <a:xfrm>
          <a:off x="773207" y="62943441"/>
          <a:ext cx="1122135" cy="996084"/>
        </a:xfrm>
        <a:prstGeom prst="rect">
          <a:avLst/>
        </a:prstGeom>
      </xdr:spPr>
    </xdr:pic>
    <xdr:clientData/>
  </xdr:twoCellAnchor>
  <xdr:oneCellAnchor>
    <xdr:from>
      <xdr:col>1</xdr:col>
      <xdr:colOff>537882</xdr:colOff>
      <xdr:row>56</xdr:row>
      <xdr:rowOff>145676</xdr:rowOff>
    </xdr:from>
    <xdr:ext cx="1114425" cy="809625"/>
    <xdr:pic>
      <xdr:nvPicPr>
        <xdr:cNvPr id="5" name="Picture 4">
          <a:extLst>
            <a:ext uri="{FF2B5EF4-FFF2-40B4-BE49-F238E27FC236}">
              <a16:creationId xmlns:a16="http://schemas.microsoft.com/office/drawing/2014/main" id="{D11B29D3-9A90-4219-A786-AB1C125C9C2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51647" y="60410911"/>
          <a:ext cx="1114425" cy="809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156882</xdr:colOff>
      <xdr:row>54</xdr:row>
      <xdr:rowOff>123265</xdr:rowOff>
    </xdr:from>
    <xdr:to>
      <xdr:col>1</xdr:col>
      <xdr:colOff>1772220</xdr:colOff>
      <xdr:row>54</xdr:row>
      <xdr:rowOff>1051519</xdr:rowOff>
    </xdr:to>
    <xdr:pic>
      <xdr:nvPicPr>
        <xdr:cNvPr id="6" name="Picture 5">
          <a:extLst>
            <a:ext uri="{FF2B5EF4-FFF2-40B4-BE49-F238E27FC236}">
              <a16:creationId xmlns:a16="http://schemas.microsoft.com/office/drawing/2014/main" id="{F2F758A8-CB4F-4D9B-8944-C1196A2B48DF}"/>
            </a:ext>
          </a:extLst>
        </xdr:cNvPr>
        <xdr:cNvPicPr>
          <a:picLocks noChangeAspect="1"/>
        </xdr:cNvPicPr>
      </xdr:nvPicPr>
      <xdr:blipFill>
        <a:blip xmlns:r="http://schemas.openxmlformats.org/officeDocument/2006/relationships" r:embed="rId5"/>
        <a:stretch>
          <a:fillRect/>
        </a:stretch>
      </xdr:blipFill>
      <xdr:spPr>
        <a:xfrm>
          <a:off x="470647" y="59122236"/>
          <a:ext cx="1615338" cy="928254"/>
        </a:xfrm>
        <a:prstGeom prst="rect">
          <a:avLst/>
        </a:prstGeom>
      </xdr:spPr>
    </xdr:pic>
    <xdr:clientData/>
  </xdr:twoCellAnchor>
  <xdr:oneCellAnchor>
    <xdr:from>
      <xdr:col>1</xdr:col>
      <xdr:colOff>403412</xdr:colOff>
      <xdr:row>64</xdr:row>
      <xdr:rowOff>235323</xdr:rowOff>
    </xdr:from>
    <xdr:ext cx="1057432" cy="761709"/>
    <xdr:pic>
      <xdr:nvPicPr>
        <xdr:cNvPr id="7" name="Picture 6">
          <a:extLst>
            <a:ext uri="{FF2B5EF4-FFF2-40B4-BE49-F238E27FC236}">
              <a16:creationId xmlns:a16="http://schemas.microsoft.com/office/drawing/2014/main" id="{6008710C-FCAD-4C6C-BCFE-5D6D3CC81904}"/>
            </a:ext>
          </a:extLst>
        </xdr:cNvPr>
        <xdr:cNvPicPr>
          <a:picLocks noChangeAspect="1"/>
        </xdr:cNvPicPr>
      </xdr:nvPicPr>
      <xdr:blipFill>
        <a:blip xmlns:r="http://schemas.openxmlformats.org/officeDocument/2006/relationships" r:embed="rId6"/>
        <a:stretch>
          <a:fillRect/>
        </a:stretch>
      </xdr:blipFill>
      <xdr:spPr>
        <a:xfrm>
          <a:off x="717177" y="71896941"/>
          <a:ext cx="1057432" cy="761709"/>
        </a:xfrm>
        <a:prstGeom prst="rect">
          <a:avLst/>
        </a:prstGeom>
      </xdr:spPr>
    </xdr:pic>
    <xdr:clientData/>
  </xdr:oneCellAnchor>
  <xdr:oneCellAnchor>
    <xdr:from>
      <xdr:col>1</xdr:col>
      <xdr:colOff>571500</xdr:colOff>
      <xdr:row>6</xdr:row>
      <xdr:rowOff>235323</xdr:rowOff>
    </xdr:from>
    <xdr:ext cx="962025" cy="773161"/>
    <xdr:pic>
      <xdr:nvPicPr>
        <xdr:cNvPr id="8" name="Picture 7">
          <a:extLst>
            <a:ext uri="{FF2B5EF4-FFF2-40B4-BE49-F238E27FC236}">
              <a16:creationId xmlns:a16="http://schemas.microsoft.com/office/drawing/2014/main" id="{63209E0F-E8EB-4425-B979-C891174259E8}"/>
            </a:ext>
          </a:extLst>
        </xdr:cNvPr>
        <xdr:cNvPicPr>
          <a:picLocks noChangeAspect="1"/>
        </xdr:cNvPicPr>
      </xdr:nvPicPr>
      <xdr:blipFill>
        <a:blip xmlns:r="http://schemas.openxmlformats.org/officeDocument/2006/relationships" r:embed="rId7"/>
        <a:stretch>
          <a:fillRect/>
        </a:stretch>
      </xdr:blipFill>
      <xdr:spPr>
        <a:xfrm>
          <a:off x="885265" y="5177117"/>
          <a:ext cx="962025" cy="773161"/>
        </a:xfrm>
        <a:prstGeom prst="rect">
          <a:avLst/>
        </a:prstGeom>
      </xdr:spPr>
    </xdr:pic>
    <xdr:clientData/>
  </xdr:oneCellAnchor>
  <xdr:oneCellAnchor>
    <xdr:from>
      <xdr:col>1</xdr:col>
      <xdr:colOff>661147</xdr:colOff>
      <xdr:row>7</xdr:row>
      <xdr:rowOff>280147</xdr:rowOff>
    </xdr:from>
    <xdr:ext cx="438150" cy="423545"/>
    <xdr:pic>
      <xdr:nvPicPr>
        <xdr:cNvPr id="9" name="Picture 8">
          <a:extLst>
            <a:ext uri="{FF2B5EF4-FFF2-40B4-BE49-F238E27FC236}">
              <a16:creationId xmlns:a16="http://schemas.microsoft.com/office/drawing/2014/main" id="{7FA41D9C-5767-4A4B-A37D-C7DE31BEC4D0}"/>
            </a:ext>
          </a:extLst>
        </xdr:cNvPr>
        <xdr:cNvPicPr>
          <a:picLocks noChangeAspect="1"/>
        </xdr:cNvPicPr>
      </xdr:nvPicPr>
      <xdr:blipFill>
        <a:blip xmlns:r="http://schemas.openxmlformats.org/officeDocument/2006/relationships" r:embed="rId8"/>
        <a:stretch>
          <a:fillRect/>
        </a:stretch>
      </xdr:blipFill>
      <xdr:spPr>
        <a:xfrm>
          <a:off x="974912" y="6488206"/>
          <a:ext cx="438150" cy="423545"/>
        </a:xfrm>
        <a:prstGeom prst="rect">
          <a:avLst/>
        </a:prstGeom>
      </xdr:spPr>
    </xdr:pic>
    <xdr:clientData/>
  </xdr:oneCellAnchor>
  <xdr:oneCellAnchor>
    <xdr:from>
      <xdr:col>1</xdr:col>
      <xdr:colOff>381000</xdr:colOff>
      <xdr:row>14</xdr:row>
      <xdr:rowOff>0</xdr:rowOff>
    </xdr:from>
    <xdr:ext cx="1543050" cy="523180"/>
    <xdr:pic>
      <xdr:nvPicPr>
        <xdr:cNvPr id="10" name="Picture 9">
          <a:extLst>
            <a:ext uri="{FF2B5EF4-FFF2-40B4-BE49-F238E27FC236}">
              <a16:creationId xmlns:a16="http://schemas.microsoft.com/office/drawing/2014/main" id="{A3578B6C-1A84-4680-B651-BD2AB5632D0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94765" y="15464118"/>
          <a:ext cx="1543050" cy="52318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313765</xdr:colOff>
      <xdr:row>23</xdr:row>
      <xdr:rowOff>324970</xdr:rowOff>
    </xdr:from>
    <xdr:ext cx="1152525" cy="561975"/>
    <xdr:pic>
      <xdr:nvPicPr>
        <xdr:cNvPr id="14" name="Picture 13">
          <a:extLst>
            <a:ext uri="{FF2B5EF4-FFF2-40B4-BE49-F238E27FC236}">
              <a16:creationId xmlns:a16="http://schemas.microsoft.com/office/drawing/2014/main" id="{DFC321DF-4B0A-4D07-A1B6-0C4509DDEB1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27530" y="30592058"/>
          <a:ext cx="1152525" cy="5619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840441</xdr:colOff>
      <xdr:row>27</xdr:row>
      <xdr:rowOff>201706</xdr:rowOff>
    </xdr:from>
    <xdr:to>
      <xdr:col>1</xdr:col>
      <xdr:colOff>1376642</xdr:colOff>
      <xdr:row>27</xdr:row>
      <xdr:rowOff>948408</xdr:rowOff>
    </xdr:to>
    <xdr:pic>
      <xdr:nvPicPr>
        <xdr:cNvPr id="15" name="Picture 14">
          <a:extLst>
            <a:ext uri="{FF2B5EF4-FFF2-40B4-BE49-F238E27FC236}">
              <a16:creationId xmlns:a16="http://schemas.microsoft.com/office/drawing/2014/main" id="{68C37483-3A4C-44EF-89DF-782622480E33}"/>
            </a:ext>
          </a:extLst>
        </xdr:cNvPr>
        <xdr:cNvPicPr>
          <a:picLocks noChangeAspect="1"/>
        </xdr:cNvPicPr>
      </xdr:nvPicPr>
      <xdr:blipFill>
        <a:blip xmlns:r="http://schemas.openxmlformats.org/officeDocument/2006/relationships" r:embed="rId11"/>
        <a:stretch>
          <a:fillRect/>
        </a:stretch>
      </xdr:blipFill>
      <xdr:spPr>
        <a:xfrm>
          <a:off x="1154206" y="35533853"/>
          <a:ext cx="536201" cy="746702"/>
        </a:xfrm>
        <a:prstGeom prst="rect">
          <a:avLst/>
        </a:prstGeom>
      </xdr:spPr>
    </xdr:pic>
    <xdr:clientData/>
  </xdr:twoCellAnchor>
  <xdr:oneCellAnchor>
    <xdr:from>
      <xdr:col>1</xdr:col>
      <xdr:colOff>176892</xdr:colOff>
      <xdr:row>32</xdr:row>
      <xdr:rowOff>244928</xdr:rowOff>
    </xdr:from>
    <xdr:ext cx="1743318" cy="562053"/>
    <xdr:pic>
      <xdr:nvPicPr>
        <xdr:cNvPr id="16" name="Picture 15">
          <a:extLst>
            <a:ext uri="{FF2B5EF4-FFF2-40B4-BE49-F238E27FC236}">
              <a16:creationId xmlns:a16="http://schemas.microsoft.com/office/drawing/2014/main" id="{A562B438-7B29-4432-B5F7-1C14ECB51B94}"/>
            </a:ext>
          </a:extLst>
        </xdr:cNvPr>
        <xdr:cNvPicPr>
          <a:picLocks noChangeAspect="1"/>
        </xdr:cNvPicPr>
      </xdr:nvPicPr>
      <xdr:blipFill>
        <a:blip xmlns:r="http://schemas.openxmlformats.org/officeDocument/2006/relationships" r:embed="rId12"/>
        <a:stretch>
          <a:fillRect/>
        </a:stretch>
      </xdr:blipFill>
      <xdr:spPr>
        <a:xfrm>
          <a:off x="489856" y="39351857"/>
          <a:ext cx="1743318" cy="562053"/>
        </a:xfrm>
        <a:prstGeom prst="rect">
          <a:avLst/>
        </a:prstGeom>
      </xdr:spPr>
    </xdr:pic>
    <xdr:clientData/>
  </xdr:oneCellAnchor>
  <xdr:twoCellAnchor editAs="oneCell">
    <xdr:from>
      <xdr:col>1</xdr:col>
      <xdr:colOff>27215</xdr:colOff>
      <xdr:row>21</xdr:row>
      <xdr:rowOff>258536</xdr:rowOff>
    </xdr:from>
    <xdr:to>
      <xdr:col>1</xdr:col>
      <xdr:colOff>630861</xdr:colOff>
      <xdr:row>21</xdr:row>
      <xdr:rowOff>877661</xdr:rowOff>
    </xdr:to>
    <xdr:pic>
      <xdr:nvPicPr>
        <xdr:cNvPr id="18" name="Picture 17">
          <a:extLst>
            <a:ext uri="{FF2B5EF4-FFF2-40B4-BE49-F238E27FC236}">
              <a16:creationId xmlns:a16="http://schemas.microsoft.com/office/drawing/2014/main" id="{567A40E8-4980-4C40-91BA-025A3E5BB67E}"/>
            </a:ext>
          </a:extLst>
        </xdr:cNvPr>
        <xdr:cNvPicPr>
          <a:picLocks noChangeAspect="1"/>
        </xdr:cNvPicPr>
      </xdr:nvPicPr>
      <xdr:blipFill>
        <a:blip xmlns:r="http://schemas.openxmlformats.org/officeDocument/2006/relationships" r:embed="rId13"/>
        <a:stretch>
          <a:fillRect/>
        </a:stretch>
      </xdr:blipFill>
      <xdr:spPr>
        <a:xfrm>
          <a:off x="340179" y="26710822"/>
          <a:ext cx="603646" cy="619125"/>
        </a:xfrm>
        <a:prstGeom prst="rect">
          <a:avLst/>
        </a:prstGeom>
      </xdr:spPr>
    </xdr:pic>
    <xdr:clientData/>
  </xdr:twoCellAnchor>
  <xdr:twoCellAnchor editAs="oneCell">
    <xdr:from>
      <xdr:col>1</xdr:col>
      <xdr:colOff>709840</xdr:colOff>
      <xdr:row>21</xdr:row>
      <xdr:rowOff>258536</xdr:rowOff>
    </xdr:from>
    <xdr:to>
      <xdr:col>1</xdr:col>
      <xdr:colOff>1297215</xdr:colOff>
      <xdr:row>21</xdr:row>
      <xdr:rowOff>860972</xdr:rowOff>
    </xdr:to>
    <xdr:pic>
      <xdr:nvPicPr>
        <xdr:cNvPr id="19" name="Picture 18">
          <a:extLst>
            <a:ext uri="{FF2B5EF4-FFF2-40B4-BE49-F238E27FC236}">
              <a16:creationId xmlns:a16="http://schemas.microsoft.com/office/drawing/2014/main" id="{ED028307-027A-4DAA-8E52-399C9E18B1DC}"/>
            </a:ext>
          </a:extLst>
        </xdr:cNvPr>
        <xdr:cNvPicPr>
          <a:picLocks noChangeAspect="1"/>
        </xdr:cNvPicPr>
      </xdr:nvPicPr>
      <xdr:blipFill>
        <a:blip xmlns:r="http://schemas.openxmlformats.org/officeDocument/2006/relationships" r:embed="rId13"/>
        <a:stretch>
          <a:fillRect/>
        </a:stretch>
      </xdr:blipFill>
      <xdr:spPr>
        <a:xfrm>
          <a:off x="1022804" y="26710822"/>
          <a:ext cx="587375" cy="602436"/>
        </a:xfrm>
        <a:prstGeom prst="rect">
          <a:avLst/>
        </a:prstGeom>
      </xdr:spPr>
    </xdr:pic>
    <xdr:clientData/>
  </xdr:twoCellAnchor>
  <xdr:twoCellAnchor editAs="oneCell">
    <xdr:from>
      <xdr:col>1</xdr:col>
      <xdr:colOff>1354365</xdr:colOff>
      <xdr:row>21</xdr:row>
      <xdr:rowOff>258536</xdr:rowOff>
    </xdr:from>
    <xdr:to>
      <xdr:col>1</xdr:col>
      <xdr:colOff>1965314</xdr:colOff>
      <xdr:row>21</xdr:row>
      <xdr:rowOff>878638</xdr:rowOff>
    </xdr:to>
    <xdr:pic>
      <xdr:nvPicPr>
        <xdr:cNvPr id="20" name="Picture 19">
          <a:extLst>
            <a:ext uri="{FF2B5EF4-FFF2-40B4-BE49-F238E27FC236}">
              <a16:creationId xmlns:a16="http://schemas.microsoft.com/office/drawing/2014/main" id="{AAE72AE6-F570-4DA5-B3AC-D4CEE4B76493}"/>
            </a:ext>
          </a:extLst>
        </xdr:cNvPr>
        <xdr:cNvPicPr>
          <a:picLocks noChangeAspect="1"/>
        </xdr:cNvPicPr>
      </xdr:nvPicPr>
      <xdr:blipFill>
        <a:blip xmlns:r="http://schemas.openxmlformats.org/officeDocument/2006/relationships" r:embed="rId13"/>
        <a:stretch>
          <a:fillRect/>
        </a:stretch>
      </xdr:blipFill>
      <xdr:spPr>
        <a:xfrm>
          <a:off x="1667329" y="26710822"/>
          <a:ext cx="610949" cy="620102"/>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1">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D092-B43F-47DF-83AD-5B5D3EF95285}">
  <dimension ref="A1:M60"/>
  <sheetViews>
    <sheetView showGridLines="0" zoomScale="80" zoomScaleNormal="80" workbookViewId="0">
      <selection activeCell="I8" sqref="I8"/>
    </sheetView>
  </sheetViews>
  <sheetFormatPr defaultRowHeight="50.1" customHeight="1" x14ac:dyDescent="0.25"/>
  <cols>
    <col min="1" max="1" width="24.7109375" style="29" customWidth="1"/>
    <col min="2" max="5" width="24.7109375" style="25" customWidth="1"/>
    <col min="6" max="6" width="4.7109375" style="25" customWidth="1"/>
    <col min="7" max="12" width="24.7109375" style="29" customWidth="1"/>
    <col min="13" max="13" width="4.7109375" style="25" customWidth="1"/>
    <col min="14" max="35" width="20.7109375" style="21" customWidth="1"/>
    <col min="36" max="16384" width="9.140625" style="21"/>
  </cols>
  <sheetData>
    <row r="1" spans="1:13" ht="30" customHeight="1" x14ac:dyDescent="0.25">
      <c r="A1" s="39"/>
      <c r="B1" s="40"/>
      <c r="C1" s="41" t="s">
        <v>0</v>
      </c>
      <c r="D1" s="40"/>
      <c r="E1" s="42"/>
      <c r="F1" s="43"/>
      <c r="G1" s="39"/>
      <c r="H1" s="39"/>
      <c r="I1" s="40"/>
      <c r="J1" s="41" t="s">
        <v>1</v>
      </c>
      <c r="K1" s="40"/>
      <c r="L1" s="42"/>
      <c r="M1" s="43"/>
    </row>
    <row r="2" spans="1:13" ht="30" customHeight="1" x14ac:dyDescent="0.25">
      <c r="A2" s="35" t="s">
        <v>2</v>
      </c>
      <c r="B2" s="36" t="s">
        <v>3</v>
      </c>
      <c r="C2" s="36" t="s">
        <v>4</v>
      </c>
      <c r="D2" s="36" t="s">
        <v>5</v>
      </c>
      <c r="E2" s="38" t="s">
        <v>6</v>
      </c>
      <c r="F2" s="31"/>
      <c r="G2" s="19" t="s">
        <v>7</v>
      </c>
      <c r="H2" s="19" t="s">
        <v>2</v>
      </c>
      <c r="I2" s="18" t="s">
        <v>3</v>
      </c>
      <c r="J2" s="18" t="s">
        <v>4</v>
      </c>
      <c r="K2" s="18" t="s">
        <v>5</v>
      </c>
      <c r="L2" s="20" t="s">
        <v>6</v>
      </c>
      <c r="M2" s="31"/>
    </row>
    <row r="3" spans="1:13" ht="20.100000000000001" customHeight="1" x14ac:dyDescent="0.25">
      <c r="A3" s="35">
        <v>1</v>
      </c>
      <c r="B3" s="36">
        <v>2</v>
      </c>
      <c r="C3" s="36">
        <v>3</v>
      </c>
      <c r="D3" s="36">
        <v>4</v>
      </c>
      <c r="E3" s="24">
        <v>5</v>
      </c>
      <c r="G3" s="23">
        <v>1</v>
      </c>
      <c r="H3" s="23">
        <v>2</v>
      </c>
      <c r="I3" s="22">
        <v>3</v>
      </c>
      <c r="J3" s="22">
        <v>4</v>
      </c>
      <c r="K3" s="22">
        <v>5</v>
      </c>
      <c r="L3" s="24">
        <v>6</v>
      </c>
    </row>
    <row r="4" spans="1:13" ht="50.1" customHeight="1" x14ac:dyDescent="0.25">
      <c r="A4" s="37"/>
      <c r="B4" s="26"/>
      <c r="C4" s="26"/>
      <c r="D4" s="26"/>
      <c r="E4" s="27"/>
      <c r="G4" s="28" t="s">
        <v>8</v>
      </c>
      <c r="H4" s="28" t="s">
        <v>9</v>
      </c>
      <c r="I4" s="29" t="s">
        <v>10</v>
      </c>
      <c r="J4" s="29" t="s">
        <v>11</v>
      </c>
      <c r="K4" s="29" t="s">
        <v>12</v>
      </c>
      <c r="L4" s="30" t="s">
        <v>9</v>
      </c>
    </row>
    <row r="5" spans="1:13" ht="50.1" customHeight="1" x14ac:dyDescent="0.25">
      <c r="A5" s="47"/>
      <c r="B5" s="48"/>
      <c r="C5" s="48"/>
      <c r="D5" s="48"/>
      <c r="E5" s="49"/>
      <c r="G5" s="28" t="s">
        <v>13</v>
      </c>
      <c r="H5" s="47" t="s">
        <v>14</v>
      </c>
      <c r="I5" s="48" t="s">
        <v>15</v>
      </c>
      <c r="J5" s="48" t="s">
        <v>16</v>
      </c>
      <c r="K5" s="48" t="s">
        <v>17</v>
      </c>
      <c r="L5" s="49" t="s">
        <v>14</v>
      </c>
    </row>
    <row r="6" spans="1:13" ht="50.1" customHeight="1" x14ac:dyDescent="0.25">
      <c r="A6" s="47"/>
      <c r="B6" s="48"/>
      <c r="C6" s="48"/>
      <c r="D6" s="48"/>
      <c r="E6" s="49"/>
      <c r="G6" s="28" t="s">
        <v>18</v>
      </c>
      <c r="H6" s="47" t="s">
        <v>19</v>
      </c>
      <c r="I6" s="48" t="s">
        <v>20</v>
      </c>
      <c r="J6" s="48" t="s">
        <v>21</v>
      </c>
      <c r="K6" s="48" t="s">
        <v>22</v>
      </c>
      <c r="L6" s="49" t="s">
        <v>19</v>
      </c>
    </row>
    <row r="7" spans="1:13" ht="50.1" customHeight="1" x14ac:dyDescent="0.25">
      <c r="A7" s="47"/>
      <c r="B7" s="48"/>
      <c r="C7" s="48"/>
      <c r="D7" s="48"/>
      <c r="E7" s="49"/>
      <c r="G7" s="28" t="s">
        <v>23</v>
      </c>
      <c r="H7" s="47" t="s">
        <v>24</v>
      </c>
      <c r="I7" s="48" t="s">
        <v>25</v>
      </c>
      <c r="J7" s="48" t="s">
        <v>26</v>
      </c>
      <c r="K7" s="48" t="s">
        <v>27</v>
      </c>
      <c r="L7" s="49" t="s">
        <v>24</v>
      </c>
    </row>
    <row r="8" spans="1:13" ht="50.1" customHeight="1" x14ac:dyDescent="0.25">
      <c r="A8" s="47"/>
      <c r="B8" s="48"/>
      <c r="C8" s="48"/>
      <c r="D8" s="48"/>
      <c r="E8" s="49"/>
      <c r="G8" s="28" t="s">
        <v>28</v>
      </c>
      <c r="H8" s="47" t="s">
        <v>29</v>
      </c>
      <c r="I8" s="48" t="s">
        <v>30</v>
      </c>
      <c r="J8" s="48" t="s">
        <v>31</v>
      </c>
      <c r="K8" s="48" t="s">
        <v>32</v>
      </c>
      <c r="L8" s="49" t="s">
        <v>29</v>
      </c>
    </row>
    <row r="9" spans="1:13" ht="50.1" customHeight="1" x14ac:dyDescent="0.25">
      <c r="A9" s="47"/>
      <c r="B9" s="48"/>
      <c r="C9" s="48"/>
      <c r="D9" s="48"/>
      <c r="E9" s="49"/>
      <c r="G9" s="28" t="s">
        <v>33</v>
      </c>
      <c r="H9" s="47" t="s">
        <v>34</v>
      </c>
      <c r="I9" s="48" t="s">
        <v>35</v>
      </c>
      <c r="J9" s="48" t="s">
        <v>36</v>
      </c>
      <c r="K9" s="48" t="s">
        <v>37</v>
      </c>
      <c r="L9" s="49" t="s">
        <v>34</v>
      </c>
    </row>
    <row r="10" spans="1:13" ht="50.1" customHeight="1" x14ac:dyDescent="0.25">
      <c r="A10" s="28"/>
      <c r="B10" s="29"/>
      <c r="C10" s="29"/>
      <c r="D10" s="29"/>
      <c r="E10" s="30"/>
      <c r="G10" s="28" t="s">
        <v>38</v>
      </c>
      <c r="H10" s="47" t="s">
        <v>39</v>
      </c>
      <c r="I10" s="48" t="s">
        <v>40</v>
      </c>
      <c r="J10" s="48" t="s">
        <v>41</v>
      </c>
      <c r="K10" s="48" t="s">
        <v>42</v>
      </c>
      <c r="L10" s="49" t="s">
        <v>39</v>
      </c>
    </row>
    <row r="11" spans="1:13" ht="50.1" customHeight="1" x14ac:dyDescent="0.25">
      <c r="A11" s="32"/>
      <c r="B11" s="33"/>
      <c r="C11" s="33"/>
      <c r="D11" s="33"/>
      <c r="E11" s="34"/>
      <c r="G11" s="28" t="s">
        <v>43</v>
      </c>
      <c r="H11" s="47" t="s">
        <v>44</v>
      </c>
      <c r="I11" s="48" t="s">
        <v>45</v>
      </c>
      <c r="J11" s="48" t="s">
        <v>46</v>
      </c>
      <c r="K11" s="48" t="s">
        <v>47</v>
      </c>
      <c r="L11" s="49" t="s">
        <v>44</v>
      </c>
      <c r="M11" s="31"/>
    </row>
    <row r="12" spans="1:13" ht="50.1" customHeight="1" x14ac:dyDescent="0.25">
      <c r="G12" s="28" t="s">
        <v>48</v>
      </c>
      <c r="H12" s="47" t="s">
        <v>49</v>
      </c>
      <c r="I12" s="48" t="s">
        <v>50</v>
      </c>
      <c r="J12" s="48" t="s">
        <v>51</v>
      </c>
      <c r="K12" s="48" t="s">
        <v>52</v>
      </c>
      <c r="L12" s="49" t="s">
        <v>49</v>
      </c>
      <c r="M12" s="29"/>
    </row>
    <row r="13" spans="1:13" ht="50.1" customHeight="1" x14ac:dyDescent="0.25">
      <c r="G13" s="28" t="s">
        <v>53</v>
      </c>
      <c r="H13" s="47" t="s">
        <v>54</v>
      </c>
      <c r="I13" s="48" t="s">
        <v>55</v>
      </c>
      <c r="J13" s="48" t="s">
        <v>56</v>
      </c>
      <c r="K13" s="48" t="s">
        <v>57</v>
      </c>
      <c r="L13" s="49" t="s">
        <v>54</v>
      </c>
      <c r="M13" s="29"/>
    </row>
    <row r="14" spans="1:13" ht="50.1" customHeight="1" x14ac:dyDescent="0.25">
      <c r="G14" s="28" t="s">
        <v>58</v>
      </c>
      <c r="H14" s="47" t="s">
        <v>59</v>
      </c>
      <c r="I14" s="48" t="s">
        <v>60</v>
      </c>
      <c r="J14" s="48" t="s">
        <v>61</v>
      </c>
      <c r="K14" s="48" t="s">
        <v>62</v>
      </c>
      <c r="L14" s="49" t="s">
        <v>59</v>
      </c>
      <c r="M14" s="29"/>
    </row>
    <row r="15" spans="1:13" ht="50.1" customHeight="1" x14ac:dyDescent="0.25">
      <c r="G15" s="28" t="s">
        <v>63</v>
      </c>
      <c r="H15" s="47" t="s">
        <v>59</v>
      </c>
      <c r="I15" s="48" t="s">
        <v>60</v>
      </c>
      <c r="J15" s="48" t="s">
        <v>61</v>
      </c>
      <c r="K15" s="48" t="s">
        <v>62</v>
      </c>
      <c r="L15" s="49" t="s">
        <v>59</v>
      </c>
      <c r="M15" s="31"/>
    </row>
    <row r="16" spans="1:13" ht="50.1" customHeight="1" x14ac:dyDescent="0.25">
      <c r="G16" s="28" t="s">
        <v>64</v>
      </c>
      <c r="H16" s="47" t="s">
        <v>65</v>
      </c>
      <c r="I16" s="48" t="s">
        <v>66</v>
      </c>
      <c r="J16" s="48" t="s">
        <v>67</v>
      </c>
      <c r="K16" s="48" t="s">
        <v>68</v>
      </c>
      <c r="L16" s="49" t="s">
        <v>65</v>
      </c>
    </row>
    <row r="17" spans="7:12" ht="50.1" customHeight="1" x14ac:dyDescent="0.25">
      <c r="G17" s="28" t="s">
        <v>69</v>
      </c>
      <c r="H17" s="47" t="s">
        <v>70</v>
      </c>
      <c r="I17" s="48" t="s">
        <v>71</v>
      </c>
      <c r="J17" s="48" t="s">
        <v>72</v>
      </c>
      <c r="K17" s="48" t="s">
        <v>73</v>
      </c>
      <c r="L17" s="49" t="s">
        <v>70</v>
      </c>
    </row>
    <row r="18" spans="7:12" ht="71.25" customHeight="1" x14ac:dyDescent="0.25">
      <c r="G18" s="28" t="s">
        <v>74</v>
      </c>
      <c r="H18" s="47" t="s">
        <v>75</v>
      </c>
      <c r="I18" s="114" t="s">
        <v>76</v>
      </c>
      <c r="J18" s="114" t="s">
        <v>77</v>
      </c>
      <c r="K18" s="114" t="s">
        <v>78</v>
      </c>
      <c r="L18" s="49" t="s">
        <v>75</v>
      </c>
    </row>
    <row r="19" spans="7:12" ht="50.1" customHeight="1" x14ac:dyDescent="0.25">
      <c r="G19" s="28" t="s">
        <v>79</v>
      </c>
      <c r="H19" s="47" t="s">
        <v>80</v>
      </c>
      <c r="I19" s="48" t="s">
        <v>81</v>
      </c>
      <c r="J19" s="48" t="s">
        <v>82</v>
      </c>
      <c r="K19" s="48" t="s">
        <v>83</v>
      </c>
      <c r="L19" s="49" t="s">
        <v>80</v>
      </c>
    </row>
    <row r="20" spans="7:12" ht="50.1" customHeight="1" x14ac:dyDescent="0.25">
      <c r="G20" s="28" t="s">
        <v>84</v>
      </c>
      <c r="H20" s="47" t="s">
        <v>85</v>
      </c>
      <c r="I20" s="114" t="s">
        <v>85</v>
      </c>
      <c r="J20" s="114" t="s">
        <v>86</v>
      </c>
      <c r="K20" s="114" t="s">
        <v>87</v>
      </c>
      <c r="L20" s="49" t="s">
        <v>85</v>
      </c>
    </row>
    <row r="21" spans="7:12" ht="50.1" customHeight="1" x14ac:dyDescent="0.25">
      <c r="G21" s="28" t="s">
        <v>88</v>
      </c>
      <c r="H21" s="47"/>
      <c r="I21" s="48"/>
      <c r="J21" s="48"/>
      <c r="K21" s="48"/>
      <c r="L21" s="49"/>
    </row>
    <row r="22" spans="7:12" ht="50.1" customHeight="1" x14ac:dyDescent="0.25">
      <c r="G22" s="28" t="s">
        <v>89</v>
      </c>
      <c r="H22" s="47" t="s">
        <v>90</v>
      </c>
      <c r="I22" s="48" t="s">
        <v>91</v>
      </c>
      <c r="J22" s="48" t="s">
        <v>92</v>
      </c>
      <c r="K22" s="48" t="s">
        <v>93</v>
      </c>
      <c r="L22" s="49" t="s">
        <v>90</v>
      </c>
    </row>
    <row r="23" spans="7:12" ht="50.1" customHeight="1" x14ac:dyDescent="0.25">
      <c r="G23" s="28" t="s">
        <v>94</v>
      </c>
      <c r="H23" s="47" t="s">
        <v>95</v>
      </c>
      <c r="I23" s="48" t="s">
        <v>96</v>
      </c>
      <c r="J23" s="48" t="s">
        <v>97</v>
      </c>
      <c r="K23" s="48" t="s">
        <v>98</v>
      </c>
      <c r="L23" s="49" t="s">
        <v>95</v>
      </c>
    </row>
    <row r="24" spans="7:12" ht="50.1" customHeight="1" x14ac:dyDescent="0.25">
      <c r="G24" s="28" t="s">
        <v>99</v>
      </c>
      <c r="H24" s="47" t="s">
        <v>100</v>
      </c>
      <c r="I24" s="48" t="s">
        <v>100</v>
      </c>
      <c r="J24" s="48" t="s">
        <v>100</v>
      </c>
      <c r="K24" s="48" t="s">
        <v>100</v>
      </c>
      <c r="L24" s="49" t="s">
        <v>100</v>
      </c>
    </row>
    <row r="25" spans="7:12" ht="50.1" customHeight="1" x14ac:dyDescent="0.25">
      <c r="G25" s="28" t="s">
        <v>101</v>
      </c>
      <c r="H25" s="47" t="s">
        <v>102</v>
      </c>
      <c r="I25" s="114" t="s">
        <v>103</v>
      </c>
      <c r="J25" s="114" t="s">
        <v>104</v>
      </c>
      <c r="K25" s="114" t="s">
        <v>105</v>
      </c>
      <c r="L25" s="49" t="s">
        <v>102</v>
      </c>
    </row>
    <row r="26" spans="7:12" ht="50.1" customHeight="1" x14ac:dyDescent="0.25">
      <c r="G26" s="28" t="s">
        <v>106</v>
      </c>
      <c r="H26" s="47" t="s">
        <v>107</v>
      </c>
      <c r="I26" s="114" t="s">
        <v>107</v>
      </c>
      <c r="J26" s="114" t="s">
        <v>108</v>
      </c>
      <c r="K26" s="114" t="s">
        <v>109</v>
      </c>
      <c r="L26" s="49" t="s">
        <v>107</v>
      </c>
    </row>
    <row r="27" spans="7:12" ht="50.1" customHeight="1" x14ac:dyDescent="0.25">
      <c r="G27" s="28" t="s">
        <v>110</v>
      </c>
      <c r="H27" s="115" t="s">
        <v>111</v>
      </c>
      <c r="I27" s="114" t="s">
        <v>112</v>
      </c>
      <c r="J27" s="114" t="s">
        <v>112</v>
      </c>
      <c r="K27" s="114" t="s">
        <v>113</v>
      </c>
      <c r="L27" s="49" t="s">
        <v>111</v>
      </c>
    </row>
    <row r="28" spans="7:12" ht="50.1" customHeight="1" x14ac:dyDescent="0.25">
      <c r="G28" s="28" t="s">
        <v>114</v>
      </c>
      <c r="H28" s="47" t="s">
        <v>115</v>
      </c>
      <c r="I28" s="48" t="s">
        <v>116</v>
      </c>
      <c r="J28" s="48" t="s">
        <v>117</v>
      </c>
      <c r="K28" s="48" t="s">
        <v>118</v>
      </c>
      <c r="L28" s="49" t="s">
        <v>115</v>
      </c>
    </row>
    <row r="29" spans="7:12" ht="50.1" customHeight="1" x14ac:dyDescent="0.25">
      <c r="G29" s="28" t="s">
        <v>119</v>
      </c>
      <c r="H29" s="47" t="s">
        <v>120</v>
      </c>
      <c r="I29" s="48" t="s">
        <v>121</v>
      </c>
      <c r="J29" s="48" t="s">
        <v>122</v>
      </c>
      <c r="K29" s="48" t="s">
        <v>123</v>
      </c>
      <c r="L29" s="49" t="s">
        <v>120</v>
      </c>
    </row>
    <row r="30" spans="7:12" ht="50.1" customHeight="1" x14ac:dyDescent="0.25">
      <c r="G30" s="28" t="s">
        <v>124</v>
      </c>
      <c r="H30" s="47" t="s">
        <v>125</v>
      </c>
      <c r="I30" s="48" t="s">
        <v>125</v>
      </c>
      <c r="J30" s="48" t="s">
        <v>125</v>
      </c>
      <c r="K30" s="48" t="s">
        <v>125</v>
      </c>
      <c r="L30" s="49" t="s">
        <v>125</v>
      </c>
    </row>
    <row r="31" spans="7:12" ht="50.1" customHeight="1" x14ac:dyDescent="0.25">
      <c r="G31" s="28" t="s">
        <v>126</v>
      </c>
      <c r="H31" s="47" t="s">
        <v>127</v>
      </c>
      <c r="I31" s="48" t="s">
        <v>128</v>
      </c>
      <c r="J31" s="48" t="s">
        <v>129</v>
      </c>
      <c r="K31" s="48" t="s">
        <v>130</v>
      </c>
      <c r="L31" s="49" t="s">
        <v>127</v>
      </c>
    </row>
    <row r="32" spans="7:12" ht="50.1" customHeight="1" x14ac:dyDescent="0.25">
      <c r="G32" s="28" t="s">
        <v>131</v>
      </c>
      <c r="H32" s="47" t="s">
        <v>132</v>
      </c>
      <c r="I32" s="48" t="s">
        <v>133</v>
      </c>
      <c r="J32" s="48" t="s">
        <v>134</v>
      </c>
      <c r="K32" s="48" t="s">
        <v>135</v>
      </c>
      <c r="L32" s="49" t="s">
        <v>132</v>
      </c>
    </row>
    <row r="33" spans="7:13" ht="50.1" customHeight="1" x14ac:dyDescent="0.25">
      <c r="G33" s="28" t="s">
        <v>136</v>
      </c>
      <c r="H33" s="47" t="s">
        <v>132</v>
      </c>
      <c r="I33" s="48" t="s">
        <v>133</v>
      </c>
      <c r="J33" s="48" t="s">
        <v>134</v>
      </c>
      <c r="K33" s="48" t="s">
        <v>135</v>
      </c>
      <c r="L33" s="49" t="s">
        <v>132</v>
      </c>
    </row>
    <row r="34" spans="7:13" ht="50.1" customHeight="1" x14ac:dyDescent="0.25">
      <c r="G34" s="28" t="s">
        <v>137</v>
      </c>
      <c r="H34" s="47" t="s">
        <v>138</v>
      </c>
      <c r="I34" s="48" t="s">
        <v>139</v>
      </c>
      <c r="J34" s="48" t="s">
        <v>140</v>
      </c>
      <c r="K34" s="48" t="s">
        <v>141</v>
      </c>
      <c r="L34" s="49" t="s">
        <v>138</v>
      </c>
    </row>
    <row r="35" spans="7:13" ht="50.1" customHeight="1" x14ac:dyDescent="0.25">
      <c r="G35" s="28" t="s">
        <v>142</v>
      </c>
      <c r="H35" s="47" t="s">
        <v>143</v>
      </c>
      <c r="I35" s="114" t="s">
        <v>144</v>
      </c>
      <c r="J35" s="114" t="s">
        <v>145</v>
      </c>
      <c r="K35" s="114" t="s">
        <v>146</v>
      </c>
      <c r="L35" s="49" t="s">
        <v>143</v>
      </c>
    </row>
    <row r="36" spans="7:13" ht="50.1" customHeight="1" x14ac:dyDescent="0.25">
      <c r="G36" s="28" t="s">
        <v>147</v>
      </c>
      <c r="H36" s="47" t="s">
        <v>143</v>
      </c>
      <c r="I36" s="114" t="s">
        <v>144</v>
      </c>
      <c r="J36" s="114" t="s">
        <v>145</v>
      </c>
      <c r="K36" s="114" t="s">
        <v>146</v>
      </c>
      <c r="L36" s="49" t="s">
        <v>143</v>
      </c>
    </row>
    <row r="37" spans="7:13" ht="50.1" customHeight="1" x14ac:dyDescent="0.25">
      <c r="G37" s="28" t="s">
        <v>148</v>
      </c>
      <c r="H37" s="47" t="s">
        <v>143</v>
      </c>
      <c r="I37" s="114" t="s">
        <v>144</v>
      </c>
      <c r="J37" s="114" t="s">
        <v>145</v>
      </c>
      <c r="K37" s="114" t="s">
        <v>146</v>
      </c>
      <c r="L37" s="49" t="s">
        <v>143</v>
      </c>
    </row>
    <row r="38" spans="7:13" ht="50.1" customHeight="1" x14ac:dyDescent="0.25">
      <c r="G38" s="28" t="s">
        <v>149</v>
      </c>
      <c r="H38" s="47" t="s">
        <v>150</v>
      </c>
      <c r="I38" s="48" t="s">
        <v>150</v>
      </c>
      <c r="J38" s="48" t="s">
        <v>150</v>
      </c>
      <c r="K38" s="48" t="s">
        <v>150</v>
      </c>
      <c r="L38" s="49" t="s">
        <v>150</v>
      </c>
    </row>
    <row r="39" spans="7:13" ht="49.5" customHeight="1" x14ac:dyDescent="0.25">
      <c r="G39" s="28" t="s">
        <v>151</v>
      </c>
      <c r="H39" s="47" t="s">
        <v>152</v>
      </c>
      <c r="I39" s="48" t="s">
        <v>153</v>
      </c>
      <c r="J39" s="48" t="s">
        <v>154</v>
      </c>
      <c r="K39" s="48" t="s">
        <v>155</v>
      </c>
      <c r="L39" s="49" t="s">
        <v>152</v>
      </c>
    </row>
    <row r="40" spans="7:13" ht="80.25" customHeight="1" x14ac:dyDescent="0.25">
      <c r="G40" s="28" t="s">
        <v>156</v>
      </c>
      <c r="H40" s="115" t="s">
        <v>157</v>
      </c>
      <c r="I40" s="48" t="s">
        <v>158</v>
      </c>
      <c r="J40" s="48" t="s">
        <v>159</v>
      </c>
      <c r="K40" s="48" t="s">
        <v>160</v>
      </c>
      <c r="L40" s="49" t="s">
        <v>157</v>
      </c>
    </row>
    <row r="41" spans="7:13" ht="50.1" customHeight="1" x14ac:dyDescent="0.25">
      <c r="G41" s="28" t="s">
        <v>161</v>
      </c>
      <c r="H41" s="47" t="s">
        <v>162</v>
      </c>
      <c r="I41" s="114" t="s">
        <v>163</v>
      </c>
      <c r="J41" s="114" t="s">
        <v>164</v>
      </c>
      <c r="K41" s="114" t="s">
        <v>165</v>
      </c>
      <c r="L41" s="49" t="s">
        <v>162</v>
      </c>
    </row>
    <row r="42" spans="7:13" ht="50.1" customHeight="1" x14ac:dyDescent="0.25">
      <c r="G42" s="28" t="s">
        <v>166</v>
      </c>
      <c r="H42" s="47" t="s">
        <v>167</v>
      </c>
      <c r="I42" s="48" t="s">
        <v>168</v>
      </c>
      <c r="J42" s="48" t="s">
        <v>169</v>
      </c>
      <c r="K42" s="48" t="s">
        <v>170</v>
      </c>
      <c r="L42" s="49" t="s">
        <v>167</v>
      </c>
    </row>
    <row r="43" spans="7:13" ht="50.1" customHeight="1" x14ac:dyDescent="0.25">
      <c r="G43" s="28" t="s">
        <v>171</v>
      </c>
      <c r="H43" s="47" t="s">
        <v>102</v>
      </c>
      <c r="I43" s="114" t="s">
        <v>103</v>
      </c>
      <c r="J43" s="114" t="s">
        <v>104</v>
      </c>
      <c r="K43" s="114" t="s">
        <v>105</v>
      </c>
      <c r="L43" s="49" t="s">
        <v>102</v>
      </c>
    </row>
    <row r="44" spans="7:13" ht="50.1" customHeight="1" x14ac:dyDescent="0.25">
      <c r="G44" s="28" t="s">
        <v>172</v>
      </c>
      <c r="H44" s="47" t="s">
        <v>173</v>
      </c>
      <c r="I44" s="48" t="s">
        <v>173</v>
      </c>
      <c r="J44" s="48" t="s">
        <v>173</v>
      </c>
      <c r="K44" s="48" t="s">
        <v>173</v>
      </c>
      <c r="L44" s="49" t="s">
        <v>173</v>
      </c>
    </row>
    <row r="45" spans="7:13" ht="50.1" customHeight="1" x14ac:dyDescent="0.25">
      <c r="G45" s="28" t="s">
        <v>174</v>
      </c>
      <c r="H45" s="47" t="s">
        <v>175</v>
      </c>
      <c r="I45" s="48" t="s">
        <v>176</v>
      </c>
      <c r="J45" s="48" t="s">
        <v>177</v>
      </c>
      <c r="K45" s="48" t="s">
        <v>178</v>
      </c>
      <c r="L45" s="49" t="s">
        <v>175</v>
      </c>
    </row>
    <row r="46" spans="7:13" ht="50.1" customHeight="1" x14ac:dyDescent="0.25">
      <c r="G46" s="28" t="s">
        <v>179</v>
      </c>
      <c r="H46" s="47"/>
      <c r="I46" s="48"/>
      <c r="J46" s="48"/>
      <c r="K46" s="48"/>
      <c r="L46" s="49"/>
      <c r="M46" s="29"/>
    </row>
    <row r="47" spans="7:13" ht="50.1" customHeight="1" x14ac:dyDescent="0.25">
      <c r="G47" s="28" t="s">
        <v>180</v>
      </c>
      <c r="H47" s="47" t="s">
        <v>181</v>
      </c>
      <c r="I47" s="114" t="s">
        <v>182</v>
      </c>
      <c r="J47" s="114" t="s">
        <v>183</v>
      </c>
      <c r="K47" s="114" t="s">
        <v>184</v>
      </c>
      <c r="L47" s="49" t="s">
        <v>181</v>
      </c>
    </row>
    <row r="48" spans="7:13" ht="50.1" customHeight="1" x14ac:dyDescent="0.25">
      <c r="G48" s="28" t="s">
        <v>185</v>
      </c>
      <c r="H48" s="47" t="s">
        <v>186</v>
      </c>
      <c r="I48" s="114" t="s">
        <v>187</v>
      </c>
      <c r="J48" s="114" t="s">
        <v>188</v>
      </c>
      <c r="K48" s="114" t="s">
        <v>189</v>
      </c>
      <c r="L48" s="49" t="s">
        <v>186</v>
      </c>
    </row>
    <row r="49" spans="7:12" ht="50.1" customHeight="1" x14ac:dyDescent="0.25">
      <c r="G49" s="28" t="s">
        <v>190</v>
      </c>
      <c r="H49" s="47" t="s">
        <v>191</v>
      </c>
      <c r="I49" s="114" t="s">
        <v>192</v>
      </c>
      <c r="J49" s="114" t="s">
        <v>193</v>
      </c>
      <c r="K49" s="114" t="s">
        <v>194</v>
      </c>
      <c r="L49" s="49" t="s">
        <v>191</v>
      </c>
    </row>
    <row r="50" spans="7:12" ht="75" customHeight="1" x14ac:dyDescent="0.25">
      <c r="G50" s="28" t="s">
        <v>195</v>
      </c>
      <c r="H50" s="47" t="s">
        <v>196</v>
      </c>
      <c r="I50" s="48" t="s">
        <v>196</v>
      </c>
      <c r="J50" s="48" t="s">
        <v>196</v>
      </c>
      <c r="K50" s="48" t="s">
        <v>196</v>
      </c>
      <c r="L50" s="49" t="s">
        <v>196</v>
      </c>
    </row>
    <row r="51" spans="7:12" ht="50.1" customHeight="1" x14ac:dyDescent="0.25">
      <c r="G51" s="28" t="s">
        <v>197</v>
      </c>
      <c r="H51" s="47" t="s">
        <v>198</v>
      </c>
      <c r="I51" s="48" t="s">
        <v>198</v>
      </c>
      <c r="J51" s="48" t="s">
        <v>198</v>
      </c>
      <c r="K51" s="48" t="s">
        <v>198</v>
      </c>
      <c r="L51" s="49" t="s">
        <v>198</v>
      </c>
    </row>
    <row r="52" spans="7:12" ht="50.1" customHeight="1" x14ac:dyDescent="0.25">
      <c r="G52" s="28" t="s">
        <v>199</v>
      </c>
      <c r="H52" s="47" t="s">
        <v>200</v>
      </c>
      <c r="I52" s="114" t="s">
        <v>201</v>
      </c>
      <c r="J52" s="114" t="s">
        <v>202</v>
      </c>
      <c r="K52" s="114" t="s">
        <v>203</v>
      </c>
      <c r="L52" s="49" t="s">
        <v>200</v>
      </c>
    </row>
    <row r="53" spans="7:12" ht="50.1" customHeight="1" x14ac:dyDescent="0.25">
      <c r="G53" s="28" t="s">
        <v>204</v>
      </c>
      <c r="H53" s="47" t="s">
        <v>205</v>
      </c>
      <c r="I53" s="114" t="s">
        <v>206</v>
      </c>
      <c r="J53" s="114" t="s">
        <v>207</v>
      </c>
      <c r="K53" s="114" t="s">
        <v>208</v>
      </c>
      <c r="L53" s="49" t="s">
        <v>205</v>
      </c>
    </row>
    <row r="54" spans="7:12" ht="50.1" customHeight="1" x14ac:dyDescent="0.25">
      <c r="G54" s="28" t="s">
        <v>209</v>
      </c>
      <c r="H54" s="47" t="s">
        <v>210</v>
      </c>
      <c r="I54" s="114" t="s">
        <v>211</v>
      </c>
      <c r="J54" s="114" t="s">
        <v>212</v>
      </c>
      <c r="K54" s="114" t="s">
        <v>213</v>
      </c>
      <c r="L54" s="49" t="s">
        <v>210</v>
      </c>
    </row>
    <row r="55" spans="7:12" ht="50.1" customHeight="1" x14ac:dyDescent="0.25">
      <c r="G55" s="28" t="s">
        <v>214</v>
      </c>
      <c r="H55" s="47" t="s">
        <v>215</v>
      </c>
      <c r="I55" s="48" t="s">
        <v>216</v>
      </c>
      <c r="J55" s="48" t="s">
        <v>217</v>
      </c>
      <c r="K55" s="48" t="s">
        <v>218</v>
      </c>
      <c r="L55" s="49" t="s">
        <v>215</v>
      </c>
    </row>
    <row r="56" spans="7:12" ht="50.1" customHeight="1" x14ac:dyDescent="0.25">
      <c r="G56" s="28">
        <v>4028515</v>
      </c>
      <c r="H56" s="47" t="s">
        <v>219</v>
      </c>
      <c r="I56" s="48" t="s">
        <v>219</v>
      </c>
      <c r="J56" s="48" t="s">
        <v>219</v>
      </c>
      <c r="K56" s="48" t="s">
        <v>219</v>
      </c>
      <c r="L56" s="49" t="s">
        <v>219</v>
      </c>
    </row>
    <row r="57" spans="7:12" ht="50.1" customHeight="1" x14ac:dyDescent="0.25">
      <c r="G57" s="28" t="s">
        <v>220</v>
      </c>
      <c r="H57" s="47"/>
      <c r="I57" s="48"/>
      <c r="J57" s="48"/>
      <c r="K57" s="48"/>
      <c r="L57" s="49"/>
    </row>
    <row r="58" spans="7:12" ht="50.1" customHeight="1" x14ac:dyDescent="0.25">
      <c r="G58" s="28" t="s">
        <v>221</v>
      </c>
      <c r="H58" s="47"/>
      <c r="I58" s="48"/>
      <c r="J58" s="48"/>
      <c r="K58" s="48"/>
      <c r="L58" s="49"/>
    </row>
    <row r="59" spans="7:12" ht="50.1" customHeight="1" x14ac:dyDescent="0.25">
      <c r="G59" s="28" t="s">
        <v>222</v>
      </c>
      <c r="H59" s="47"/>
      <c r="I59" s="48"/>
      <c r="J59" s="48"/>
      <c r="K59" s="48"/>
      <c r="L59" s="49"/>
    </row>
    <row r="60" spans="7:12" ht="50.1" customHeight="1" x14ac:dyDescent="0.25">
      <c r="G60" s="44"/>
      <c r="H60" s="44"/>
      <c r="I60" s="45"/>
      <c r="J60" s="45"/>
      <c r="K60" s="45"/>
      <c r="L60" s="46"/>
    </row>
  </sheetData>
  <autoFilter ref="A1:L59" xr:uid="{DC16D092-B43F-47DF-83AD-5B5D3EF95285}"/>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F46E4-EB17-4F8E-AE60-947BF99D1FEC}">
  <dimension ref="A1:M7"/>
  <sheetViews>
    <sheetView showGridLines="0" tabSelected="1" zoomScale="60" zoomScaleNormal="60" workbookViewId="0">
      <pane ySplit="3" topLeftCell="A4" activePane="bottomLeft" state="frozen"/>
      <selection pane="bottomLeft" activeCell="Q4" sqref="Q4"/>
    </sheetView>
  </sheetViews>
  <sheetFormatPr defaultRowHeight="99.95" customHeight="1" x14ac:dyDescent="0.25"/>
  <cols>
    <col min="1" max="1" width="4.7109375" customWidth="1"/>
    <col min="2" max="4" width="30.7109375" customWidth="1"/>
    <col min="5" max="5" width="34.7109375" customWidth="1"/>
    <col min="6" max="6" width="40.7109375" customWidth="1"/>
    <col min="7" max="7" width="60.7109375" customWidth="1"/>
    <col min="8" max="10" width="16.7109375" customWidth="1"/>
    <col min="11" max="13" width="18.7109375" customWidth="1"/>
  </cols>
  <sheetData>
    <row r="1" spans="1:13" ht="39.950000000000003" customHeight="1" x14ac:dyDescent="0.25">
      <c r="A1" s="60"/>
      <c r="B1" s="61" t="e" vm="1">
        <v>#VALUE!</v>
      </c>
      <c r="C1" s="62"/>
      <c r="D1" s="62" t="s">
        <v>223</v>
      </c>
      <c r="E1" s="63"/>
      <c r="F1" s="64"/>
      <c r="G1" s="124" t="s">
        <v>2</v>
      </c>
      <c r="H1" s="125"/>
      <c r="I1" s="125"/>
      <c r="J1" s="126"/>
      <c r="K1" s="52" t="s">
        <v>224</v>
      </c>
      <c r="L1" s="134" t="s">
        <v>855</v>
      </c>
      <c r="M1" s="135"/>
    </row>
    <row r="2" spans="1:13" ht="15.95" customHeight="1" x14ac:dyDescent="0.25">
      <c r="A2" s="55"/>
      <c r="B2" s="5"/>
      <c r="C2" s="6"/>
      <c r="D2" s="5"/>
      <c r="E2" s="5"/>
      <c r="F2" s="5"/>
      <c r="G2" s="7"/>
      <c r="H2" s="5"/>
      <c r="I2" s="5"/>
      <c r="J2" s="8"/>
      <c r="K2" s="5"/>
      <c r="L2" s="5"/>
      <c r="M2" s="56"/>
    </row>
    <row r="3" spans="1:13" ht="35.1" customHeight="1" x14ac:dyDescent="0.25">
      <c r="A3" s="9"/>
      <c r="B3" s="123" t="s">
        <v>225</v>
      </c>
      <c r="C3" s="123" t="s">
        <v>226</v>
      </c>
      <c r="D3" s="120" t="s">
        <v>227</v>
      </c>
      <c r="E3" s="121" t="s">
        <v>228</v>
      </c>
      <c r="F3" s="122" t="s">
        <v>229</v>
      </c>
      <c r="G3" s="122" t="s">
        <v>230</v>
      </c>
      <c r="H3" s="120"/>
      <c r="I3" s="120"/>
      <c r="J3" s="120"/>
      <c r="K3" s="10" t="s">
        <v>231</v>
      </c>
      <c r="L3" s="11" t="s">
        <v>232</v>
      </c>
      <c r="M3" s="12" t="s">
        <v>233</v>
      </c>
    </row>
    <row r="4" spans="1:13" ht="150" customHeight="1" x14ac:dyDescent="0.25">
      <c r="A4" s="13"/>
      <c r="B4" s="88" t="e" vm="2">
        <v>#VALUE!</v>
      </c>
      <c r="C4" s="80" t="s">
        <v>8</v>
      </c>
      <c r="D4" s="87" t="s">
        <v>234</v>
      </c>
      <c r="E4" s="80" t="s">
        <v>8</v>
      </c>
      <c r="F4" s="14" t="s">
        <v>235</v>
      </c>
      <c r="G4" s="57" t="str">
        <f>IF(VLOOKUP(E4,Language!G:L,HLOOKUP($G$1,Language!H$2:L$3,2,0),0)="","",VLOOKUP(E4,Language!G:L,HLOOKUP($G$1,Language!H$2:L$3,2,0),0))</f>
        <v>Includes:
- AC400 Clamps
- Ride height targets
- TIP target
- 1 year Premium Free Subscription
- CE Conform
* Calibration targets and accessories sold separately</v>
      </c>
      <c r="H4" s="15"/>
      <c r="I4" s="16"/>
      <c r="J4" s="17"/>
      <c r="K4" s="58">
        <v>32595</v>
      </c>
      <c r="L4" s="65">
        <v>0.5</v>
      </c>
      <c r="M4" s="66">
        <f t="shared" ref="M4:M6" si="0">+K4*(1-L4)</f>
        <v>16297.5</v>
      </c>
    </row>
    <row r="5" spans="1:13" ht="150" customHeight="1" x14ac:dyDescent="0.25">
      <c r="A5" s="13"/>
      <c r="B5" s="89" t="e" vm="3">
        <v>#VALUE!</v>
      </c>
      <c r="C5" s="80" t="s">
        <v>13</v>
      </c>
      <c r="D5" s="87" t="s">
        <v>236</v>
      </c>
      <c r="E5" s="80" t="s">
        <v>13</v>
      </c>
      <c r="F5" s="14" t="s">
        <v>237</v>
      </c>
      <c r="G5" s="57" t="str">
        <f>IF(VLOOKUP(E5,Language!G:L,HLOOKUP($G$1,Language!H$2:L$3,2,0),0)="","",VLOOKUP(E5,Language!G:L,HLOOKUP($G$1,Language!H$2:L$3,2,0),0))</f>
        <v>Includes: Target Stand, Alignment Fixture, Alignment Fixture w/ Laser, Laser Assembly (2), Alignment Plate, Tape Rule , Tape Rule Stand, Extension Arm (2). Forward Camera Targets (Honda, Acura, Hyundai, Kia, Mazda, Nissan, Infiniti, Audi, Volkswagen, Mercedes-Benz,  Toyota, Lexus)</v>
      </c>
      <c r="H5" s="15"/>
      <c r="I5" s="16"/>
      <c r="J5" s="17"/>
      <c r="K5" s="58">
        <v>15675</v>
      </c>
      <c r="L5" s="65">
        <v>0.60040000000000004</v>
      </c>
      <c r="M5" s="66">
        <f t="shared" si="0"/>
        <v>6263.73</v>
      </c>
    </row>
    <row r="6" spans="1:13" ht="150" customHeight="1" x14ac:dyDescent="0.25">
      <c r="A6" s="13"/>
      <c r="B6" s="89" t="e" vm="4">
        <v>#VALUE!</v>
      </c>
      <c r="C6" s="80" t="s">
        <v>18</v>
      </c>
      <c r="D6" s="87" t="s">
        <v>236</v>
      </c>
      <c r="E6" s="80" t="s">
        <v>18</v>
      </c>
      <c r="F6" s="14" t="s">
        <v>238</v>
      </c>
      <c r="G6" s="57" t="str">
        <f>IF(VLOOKUP(E6,Language!G:L,HLOOKUP($G$1,Language!H$2:L$3,2,0),0)="","",VLOOKUP(E6,Language!G:L,HLOOKUP($G$1,Language!H$2:L$3,2,0),0))</f>
        <v>Includes: Target Stand, Alignment Fixture, Alignment Fixture w/ Laser, Laser Assembly (2), Alignment Plate, Tape Rule , Tape Rule Stand, Extension Arm (2), Rear Alignment Plate, Radar Alignment Stand, Front Radar Reflector (3). Forward Camera Targets (Honda, Acura, Hyundai, Kia, Mazda, Nissan, Infiniti, Audi, Volkswagen, Mercedes-Benz,  Toyota, Lexus, Subaru, Mitsubishi). Rear Camera Targets (Audi, Volkswagen, Mercedes-Benz). Forward Radar Reflector (Honda, Acura, Mazda, Toyota, Lexus)</v>
      </c>
      <c r="H6" s="15"/>
      <c r="I6" s="16"/>
      <c r="J6" s="17"/>
      <c r="K6" s="58">
        <v>23515</v>
      </c>
      <c r="L6" s="65">
        <v>0.63139999999999996</v>
      </c>
      <c r="M6" s="66">
        <f t="shared" si="0"/>
        <v>8667.6290000000008</v>
      </c>
    </row>
    <row r="7" spans="1:13" ht="69.95" customHeight="1" x14ac:dyDescent="0.25">
      <c r="A7" s="67"/>
      <c r="B7" s="68"/>
      <c r="C7" s="68"/>
      <c r="D7" s="68"/>
      <c r="E7" s="68"/>
      <c r="F7" s="68"/>
      <c r="G7" s="68"/>
      <c r="H7" s="68"/>
      <c r="I7" s="68"/>
      <c r="J7" s="68"/>
      <c r="K7" s="68"/>
      <c r="L7" s="68"/>
      <c r="M7" s="69"/>
    </row>
  </sheetData>
  <mergeCells count="1">
    <mergeCell ref="L1:M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AFE4EEF-0830-44FE-B38B-23F4F8B166A8}">
          <x14:formula1>
            <xm:f>Language!$H$2:$L$2</xm:f>
          </x14:formula1>
          <xm:sqref>G1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A94B2-8429-42E0-9A60-140F54326E1B}">
  <sheetPr>
    <pageSetUpPr fitToPage="1"/>
  </sheetPr>
  <dimension ref="A1:K76"/>
  <sheetViews>
    <sheetView zoomScale="50" zoomScaleNormal="50" workbookViewId="0">
      <pane ySplit="3" topLeftCell="A4" activePane="bottomLeft" state="frozen"/>
      <selection pane="bottomLeft" activeCell="A3" sqref="A3"/>
    </sheetView>
  </sheetViews>
  <sheetFormatPr defaultRowHeight="50.1" customHeight="1" x14ac:dyDescent="0.25"/>
  <cols>
    <col min="1" max="1" width="4.7109375" customWidth="1"/>
    <col min="2" max="2" width="30.7109375" style="74" customWidth="1"/>
    <col min="3" max="3" width="30.7109375" customWidth="1"/>
    <col min="4" max="4" width="34.7109375" customWidth="1"/>
    <col min="5" max="5" width="40.7109375" customWidth="1"/>
    <col min="6" max="6" width="50.7109375" customWidth="1"/>
    <col min="7" max="7" width="50.7109375" style="86" customWidth="1"/>
    <col min="8" max="10" width="18.7109375" customWidth="1"/>
    <col min="11" max="11" width="88.28515625" customWidth="1"/>
    <col min="12" max="12" width="12.5703125" customWidth="1"/>
  </cols>
  <sheetData>
    <row r="1" spans="1:11" ht="39.950000000000003" customHeight="1" x14ac:dyDescent="0.25">
      <c r="A1" s="70"/>
      <c r="B1" s="61" t="e" vm="1">
        <v>#VALUE!</v>
      </c>
      <c r="C1" s="61"/>
      <c r="D1" s="62" t="s">
        <v>223</v>
      </c>
      <c r="E1" s="70"/>
      <c r="F1" s="83"/>
      <c r="G1" s="54" t="s">
        <v>2</v>
      </c>
      <c r="H1" s="127" t="s">
        <v>224</v>
      </c>
      <c r="I1" s="136" t="s">
        <v>239</v>
      </c>
      <c r="J1" s="137"/>
    </row>
    <row r="2" spans="1:11" ht="15.95" customHeight="1" x14ac:dyDescent="0.25">
      <c r="A2" s="51"/>
      <c r="B2" s="76"/>
      <c r="C2" s="51"/>
      <c r="D2" s="51"/>
      <c r="E2" s="51"/>
      <c r="F2" s="51"/>
      <c r="G2" s="84"/>
      <c r="H2" s="51"/>
      <c r="I2" s="51"/>
      <c r="J2" s="51"/>
    </row>
    <row r="3" spans="1:11" ht="35.1" customHeight="1" x14ac:dyDescent="0.25">
      <c r="A3" s="50"/>
      <c r="B3" s="116" t="s">
        <v>225</v>
      </c>
      <c r="C3" s="116" t="s">
        <v>240</v>
      </c>
      <c r="D3" s="117" t="s">
        <v>228</v>
      </c>
      <c r="E3" s="118" t="s">
        <v>241</v>
      </c>
      <c r="F3" s="118" t="s">
        <v>242</v>
      </c>
      <c r="G3" s="119" t="s">
        <v>1</v>
      </c>
      <c r="H3" s="91" t="s">
        <v>231</v>
      </c>
      <c r="I3" s="92" t="s">
        <v>232</v>
      </c>
      <c r="J3" s="93" t="s">
        <v>233</v>
      </c>
      <c r="K3" s="133"/>
    </row>
    <row r="4" spans="1:11" ht="99.95" customHeight="1" x14ac:dyDescent="0.25">
      <c r="A4" s="13"/>
      <c r="B4" s="75" t="e" vm="5">
        <v>#VALUE!</v>
      </c>
      <c r="C4" s="79" t="s">
        <v>243</v>
      </c>
      <c r="D4" s="80" t="s">
        <v>23</v>
      </c>
      <c r="E4" s="73" t="s">
        <v>244</v>
      </c>
      <c r="F4" s="81" t="s">
        <v>245</v>
      </c>
      <c r="G4" s="81" t="str">
        <f>IF(VLOOKUP(D4,Language!G:L,HLOOKUP($G$1,Language!H$2:L$3,2,0),0)="","",VLOOKUP(D4,Language!G:L,HLOOKUP($G$1,Language!H$2:L$3,2,0),0))</f>
        <v>- Alfa Romeo
- Front Camera Target</v>
      </c>
      <c r="H4" s="58">
        <v>1255</v>
      </c>
      <c r="I4" s="65">
        <v>0.4</v>
      </c>
      <c r="J4" s="66">
        <f>+H4*(1-I4)</f>
        <v>753</v>
      </c>
      <c r="K4" s="90"/>
    </row>
    <row r="5" spans="1:11" ht="99.95" customHeight="1" x14ac:dyDescent="0.25">
      <c r="A5" s="13"/>
      <c r="B5" s="77" t="e" vm="6">
        <v>#VALUE!</v>
      </c>
      <c r="C5" s="79" t="s">
        <v>243</v>
      </c>
      <c r="D5" s="80" t="s">
        <v>28</v>
      </c>
      <c r="E5" s="73" t="s">
        <v>246</v>
      </c>
      <c r="F5" s="82" t="s">
        <v>247</v>
      </c>
      <c r="G5" s="81" t="str">
        <f>IF(VLOOKUP(D5,Language!G:L,HLOOKUP($G$1,Language!H$2:L$3,2,0),0)="","",VLOOKUP(D5,Language!G:L,HLOOKUP($G$1,Language!H$2:L$3,2,0),0))</f>
        <v>- Ford
- 360 View</v>
      </c>
      <c r="H5" s="59">
        <v>7319</v>
      </c>
      <c r="I5" s="65">
        <v>0.4</v>
      </c>
      <c r="J5" s="66">
        <f t="shared" ref="J5:J75" si="0">+H5*(1-I5)</f>
        <v>4391.3999999999996</v>
      </c>
      <c r="K5" s="90"/>
    </row>
    <row r="6" spans="1:11" ht="99.95" customHeight="1" x14ac:dyDescent="0.25">
      <c r="A6" s="13"/>
      <c r="B6" s="75" t="e" vm="7">
        <v>#VALUE!</v>
      </c>
      <c r="C6" s="79" t="s">
        <v>243</v>
      </c>
      <c r="D6" s="80" t="s">
        <v>33</v>
      </c>
      <c r="E6" s="73" t="s">
        <v>248</v>
      </c>
      <c r="F6" s="81" t="s">
        <v>245</v>
      </c>
      <c r="G6" s="81" t="str">
        <f>IF(VLOOKUP(D6,Language!G:L,HLOOKUP($G$1,Language!H$2:L$3,2,0),0)="","",VLOOKUP(D6,Language!G:L,HLOOKUP($G$1,Language!H$2:L$3,2,0),0))</f>
        <v>- Honda, Acura
- Front Camera Target</v>
      </c>
      <c r="H6" s="59">
        <v>314</v>
      </c>
      <c r="I6" s="65">
        <v>0.4</v>
      </c>
      <c r="J6" s="66">
        <f t="shared" si="0"/>
        <v>188.4</v>
      </c>
      <c r="K6" s="90"/>
    </row>
    <row r="7" spans="1:11" ht="99.95" customHeight="1" x14ac:dyDescent="0.25">
      <c r="A7" s="13"/>
      <c r="B7" s="77"/>
      <c r="C7" s="79" t="s">
        <v>243</v>
      </c>
      <c r="D7" s="80" t="s">
        <v>830</v>
      </c>
      <c r="E7" s="73" t="s">
        <v>819</v>
      </c>
      <c r="F7" s="82"/>
      <c r="G7" s="81"/>
      <c r="H7" s="59">
        <v>628</v>
      </c>
      <c r="I7" s="65">
        <v>0.4</v>
      </c>
      <c r="J7" s="66">
        <f t="shared" ref="J7:J8" si="1">+H7*(1-I7)</f>
        <v>376.8</v>
      </c>
      <c r="K7" s="90"/>
    </row>
    <row r="8" spans="1:11" ht="99.95" customHeight="1" x14ac:dyDescent="0.25">
      <c r="A8" s="13"/>
      <c r="B8" s="75"/>
      <c r="C8" s="79" t="s">
        <v>243</v>
      </c>
      <c r="D8" s="80" t="s">
        <v>831</v>
      </c>
      <c r="E8" s="73" t="s">
        <v>837</v>
      </c>
      <c r="F8" s="82"/>
      <c r="G8" s="81"/>
      <c r="H8" s="59">
        <v>1836</v>
      </c>
      <c r="I8" s="65">
        <v>0.4</v>
      </c>
      <c r="J8" s="66">
        <f t="shared" si="1"/>
        <v>1101.5999999999999</v>
      </c>
      <c r="K8" s="90"/>
    </row>
    <row r="9" spans="1:11" ht="99.95" customHeight="1" x14ac:dyDescent="0.25">
      <c r="A9" s="13"/>
      <c r="B9" s="75" t="e" vm="8">
        <v>#VALUE!</v>
      </c>
      <c r="C9" s="79" t="s">
        <v>243</v>
      </c>
      <c r="D9" s="80" t="s">
        <v>38</v>
      </c>
      <c r="E9" s="73" t="s">
        <v>249</v>
      </c>
      <c r="F9" s="82" t="s">
        <v>250</v>
      </c>
      <c r="G9" s="81" t="str">
        <f>IF(VLOOKUP(D9,Language!G:L,HLOOKUP($G$1,Language!H$2:L$3,2,0),0)="","",VLOOKUP(D9,Language!G:L,HLOOKUP($G$1,Language!H$2:L$3,2,0),0))</f>
        <v>- Honda
- Front Camera Target</v>
      </c>
      <c r="H9" s="59">
        <v>356</v>
      </c>
      <c r="I9" s="65">
        <v>0.4</v>
      </c>
      <c r="J9" s="66">
        <f t="shared" si="0"/>
        <v>213.6</v>
      </c>
      <c r="K9" s="90"/>
    </row>
    <row r="10" spans="1:11" ht="99.95" customHeight="1" x14ac:dyDescent="0.25">
      <c r="A10" s="13"/>
      <c r="B10" s="77" t="e" vm="9">
        <v>#VALUE!</v>
      </c>
      <c r="C10" s="79" t="s">
        <v>243</v>
      </c>
      <c r="D10" s="80" t="s">
        <v>43</v>
      </c>
      <c r="E10" s="73" t="s">
        <v>251</v>
      </c>
      <c r="F10" s="82" t="s">
        <v>252</v>
      </c>
      <c r="G10" s="81" t="str">
        <f>IF(VLOOKUP(D10,Language!G:L,HLOOKUP($G$1,Language!H$2:L$3,2,0),0)="","",VLOOKUP(D10,Language!G:L,HLOOKUP($G$1,Language!H$2:L$3,2,0),0))</f>
        <v>- Honda
- Blind Spot Camera</v>
      </c>
      <c r="H10" s="59">
        <v>1255</v>
      </c>
      <c r="I10" s="65">
        <v>0.4</v>
      </c>
      <c r="J10" s="66">
        <f t="shared" si="0"/>
        <v>753</v>
      </c>
      <c r="K10" s="90"/>
    </row>
    <row r="11" spans="1:11" ht="99.95" customHeight="1" x14ac:dyDescent="0.25">
      <c r="A11" s="13"/>
      <c r="B11" s="77" t="e" vm="10">
        <v>#VALUE!</v>
      </c>
      <c r="C11" s="79" t="s">
        <v>243</v>
      </c>
      <c r="D11" s="80" t="s">
        <v>48</v>
      </c>
      <c r="E11" s="73" t="s">
        <v>253</v>
      </c>
      <c r="F11" s="82" t="s">
        <v>245</v>
      </c>
      <c r="G11" s="81" t="str">
        <f>IF(VLOOKUP(D11,Language!G:L,HLOOKUP($G$1,Language!H$2:L$3,2,0),0)="","",VLOOKUP(D11,Language!G:L,HLOOKUP($G$1,Language!H$2:L$3,2,0),0))</f>
        <v>- Fiat
Hyundai, Kia, Genesis
Opel, Vauxhall
Peugeot
- Front Camera Target</v>
      </c>
      <c r="H11" s="59">
        <v>210</v>
      </c>
      <c r="I11" s="65">
        <v>0.4</v>
      </c>
      <c r="J11" s="66">
        <f t="shared" si="0"/>
        <v>126</v>
      </c>
      <c r="K11" s="90"/>
    </row>
    <row r="12" spans="1:11" ht="99.95" customHeight="1" x14ac:dyDescent="0.25">
      <c r="A12" s="13"/>
      <c r="B12" s="77" t="e" vm="11">
        <v>#VALUE!</v>
      </c>
      <c r="C12" s="79" t="s">
        <v>243</v>
      </c>
      <c r="D12" s="80" t="s">
        <v>53</v>
      </c>
      <c r="E12" s="73" t="s">
        <v>254</v>
      </c>
      <c r="F12" s="81"/>
      <c r="G12" s="81" t="str">
        <f>IF(VLOOKUP(D12,Language!G:L,HLOOKUP($G$1,Language!H$2:L$3,2,0),0)="","",VLOOKUP(D12,Language!G:L,HLOOKUP($G$1,Language!H$2:L$3,2,0),0))</f>
        <v>- Hyundai, Kia, Genesis
- 360 View</v>
      </c>
      <c r="H12" s="59">
        <v>3137</v>
      </c>
      <c r="I12" s="65">
        <v>0.4</v>
      </c>
      <c r="J12" s="66">
        <f t="shared" si="0"/>
        <v>1882.1999999999998</v>
      </c>
      <c r="K12" s="90"/>
    </row>
    <row r="13" spans="1:11" ht="99.95" customHeight="1" x14ac:dyDescent="0.25">
      <c r="A13" s="13"/>
      <c r="B13" s="75" t="e" vm="12">
        <v>#VALUE!</v>
      </c>
      <c r="C13" s="79" t="s">
        <v>243</v>
      </c>
      <c r="D13" s="80" t="s">
        <v>58</v>
      </c>
      <c r="E13" s="73" t="s">
        <v>255</v>
      </c>
      <c r="F13" s="81" t="s">
        <v>245</v>
      </c>
      <c r="G13" s="81" t="str">
        <f>IF(VLOOKUP(D13,Language!G:L,HLOOKUP($G$1,Language!H$2:L$3,2,0),0)="","",VLOOKUP(D13,Language!G:L,HLOOKUP($G$1,Language!H$2:L$3,2,0),0))</f>
        <v>- Mazda
- Front Camera Target</v>
      </c>
      <c r="H13" s="59">
        <v>252</v>
      </c>
      <c r="I13" s="65">
        <v>0.4</v>
      </c>
      <c r="J13" s="66">
        <f t="shared" si="0"/>
        <v>151.19999999999999</v>
      </c>
      <c r="K13" s="90"/>
    </row>
    <row r="14" spans="1:11" ht="99.95" customHeight="1" x14ac:dyDescent="0.25">
      <c r="A14" s="13"/>
      <c r="B14" s="75" t="e" vm="13">
        <v>#VALUE!</v>
      </c>
      <c r="C14" s="79" t="s">
        <v>243</v>
      </c>
      <c r="D14" s="80" t="s">
        <v>63</v>
      </c>
      <c r="E14" s="73" t="s">
        <v>256</v>
      </c>
      <c r="F14" s="81" t="s">
        <v>245</v>
      </c>
      <c r="G14" s="81" t="str">
        <f>IF(VLOOKUP(D14,Language!G:L,HLOOKUP($G$1,Language!H$2:L$3,2,0),0)="","",VLOOKUP(D14,Language!G:L,HLOOKUP($G$1,Language!H$2:L$3,2,0),0))</f>
        <v>- Mazda
- Front Camera Target</v>
      </c>
      <c r="H14" s="59">
        <v>252</v>
      </c>
      <c r="I14" s="65">
        <v>0.4</v>
      </c>
      <c r="J14" s="66">
        <f t="shared" si="0"/>
        <v>151.19999999999999</v>
      </c>
      <c r="K14" s="90"/>
    </row>
    <row r="15" spans="1:11" ht="99.95" customHeight="1" x14ac:dyDescent="0.25">
      <c r="A15" s="13"/>
      <c r="B15" s="75" t="e" vm="14">
        <v>#VALUE!</v>
      </c>
      <c r="C15" s="79" t="s">
        <v>243</v>
      </c>
      <c r="D15" s="80" t="s">
        <v>64</v>
      </c>
      <c r="E15" s="73" t="s">
        <v>257</v>
      </c>
      <c r="F15" s="81" t="s">
        <v>245</v>
      </c>
      <c r="G15" s="81" t="str">
        <f>IF(VLOOKUP(D15,Language!G:L,HLOOKUP($G$1,Language!H$2:L$3,2,0),0)="","",VLOOKUP(D15,Language!G:L,HLOOKUP($G$1,Language!H$2:L$3,2,0),0))</f>
        <v>- Mercedes-Benz, Volkswagen
- Front Camera Target Requires NV-02 (EAK0362L47A) for Night Vision Short Range Calibration</v>
      </c>
      <c r="H15" s="59">
        <v>314</v>
      </c>
      <c r="I15" s="65">
        <v>0.4</v>
      </c>
      <c r="J15" s="66">
        <f t="shared" si="0"/>
        <v>188.4</v>
      </c>
      <c r="K15" s="90"/>
    </row>
    <row r="16" spans="1:11" ht="99.95" customHeight="1" x14ac:dyDescent="0.25">
      <c r="A16" s="13"/>
      <c r="B16" s="75" t="e" vm="15">
        <v>#VALUE!</v>
      </c>
      <c r="C16" s="79" t="s">
        <v>243</v>
      </c>
      <c r="D16" s="80" t="s">
        <v>79</v>
      </c>
      <c r="E16" s="73" t="s">
        <v>261</v>
      </c>
      <c r="F16" s="81" t="s">
        <v>245</v>
      </c>
      <c r="G16" s="81" t="str">
        <f>IF(VLOOKUP(D16,Language!G:L,HLOOKUP($G$1,Language!H$2:L$3,2,0),0)="","",VLOOKUP(D16,Language!G:L,HLOOKUP($G$1,Language!H$2:L$3,2,0),0))</f>
        <v>- Mitsubishi, Suzuki
- Front Camera Target</v>
      </c>
      <c r="H16" s="59">
        <v>189</v>
      </c>
      <c r="I16" s="65">
        <v>0.4</v>
      </c>
      <c r="J16" s="66">
        <f t="shared" si="0"/>
        <v>113.39999999999999</v>
      </c>
      <c r="K16" s="90"/>
    </row>
    <row r="17" spans="1:11" ht="99.95" customHeight="1" x14ac:dyDescent="0.25">
      <c r="A17" s="13"/>
      <c r="B17" s="53" t="e" vm="16">
        <v>#VALUE!</v>
      </c>
      <c r="C17" s="79" t="s">
        <v>243</v>
      </c>
      <c r="D17" s="80" t="s">
        <v>84</v>
      </c>
      <c r="E17" s="73" t="s">
        <v>262</v>
      </c>
      <c r="F17" s="81"/>
      <c r="G17" s="81" t="str">
        <f>IF(VLOOKUP(D17,Language!G:L,HLOOKUP($G$1,Language!H$2:L$3,2,0),0)="","",VLOOKUP(D17,Language!G:L,HLOOKUP($G$1,Language!H$2:L$3,2,0),0))</f>
        <v>- 360 View</v>
      </c>
      <c r="H17" s="59">
        <v>2510</v>
      </c>
      <c r="I17" s="65">
        <v>0.4</v>
      </c>
      <c r="J17" s="66">
        <f t="shared" si="0"/>
        <v>1506</v>
      </c>
      <c r="K17" s="90"/>
    </row>
    <row r="18" spans="1:11" ht="99.95" customHeight="1" x14ac:dyDescent="0.25">
      <c r="A18" s="13"/>
      <c r="B18" s="53" t="e" vm="17">
        <v>#VALUE!</v>
      </c>
      <c r="C18" s="79" t="s">
        <v>243</v>
      </c>
      <c r="D18" s="80" t="s">
        <v>88</v>
      </c>
      <c r="E18" s="73" t="s">
        <v>263</v>
      </c>
      <c r="F18" s="81" t="s">
        <v>245</v>
      </c>
      <c r="G18" s="81" t="str">
        <f>IF(VLOOKUP(D18,Language!G:L,HLOOKUP($G$1,Language!H$2:L$3,2,0),0)="","",VLOOKUP(D18,Language!G:L,HLOOKUP($G$1,Language!H$2:L$3,2,0),0))</f>
        <v/>
      </c>
      <c r="H18" s="59">
        <v>576</v>
      </c>
      <c r="I18" s="65">
        <v>0.4</v>
      </c>
      <c r="J18" s="66">
        <f t="shared" si="0"/>
        <v>345.59999999999997</v>
      </c>
      <c r="K18" s="90"/>
    </row>
    <row r="19" spans="1:11" ht="99.95" customHeight="1" x14ac:dyDescent="0.25">
      <c r="A19" s="13"/>
      <c r="B19" s="75" t="e" vm="18">
        <v>#VALUE!</v>
      </c>
      <c r="C19" s="79" t="s">
        <v>243</v>
      </c>
      <c r="D19" s="80" t="s">
        <v>89</v>
      </c>
      <c r="E19" s="73" t="s">
        <v>264</v>
      </c>
      <c r="F19" s="81" t="s">
        <v>245</v>
      </c>
      <c r="G19" s="81" t="str">
        <f>IF(VLOOKUP(D19,Language!G:L,HLOOKUP($G$1,Language!H$2:L$3,2,0),0)="","",VLOOKUP(D19,Language!G:L,HLOOKUP($G$1,Language!H$2:L$3,2,0),0))</f>
        <v>- Mercedes-Benz, Nissan, Infiniti
- Front Camera Target</v>
      </c>
      <c r="H19" s="59">
        <v>262</v>
      </c>
      <c r="I19" s="65">
        <v>0.4</v>
      </c>
      <c r="J19" s="66">
        <f t="shared" si="0"/>
        <v>157.19999999999999</v>
      </c>
      <c r="K19" s="90"/>
    </row>
    <row r="20" spans="1:11" ht="99.95" customHeight="1" x14ac:dyDescent="0.25">
      <c r="A20" s="13"/>
      <c r="B20" s="75" t="e" vm="19">
        <v>#VALUE!</v>
      </c>
      <c r="C20" s="79" t="s">
        <v>243</v>
      </c>
      <c r="D20" s="80" t="s">
        <v>94</v>
      </c>
      <c r="E20" s="73" t="s">
        <v>265</v>
      </c>
      <c r="F20" s="81" t="s">
        <v>245</v>
      </c>
      <c r="G20" s="81" t="str">
        <f>IF(VLOOKUP(D20,Language!G:L,HLOOKUP($G$1,Language!H$2:L$3,2,0),0)="","",VLOOKUP(D20,Language!G:L,HLOOKUP($G$1,Language!H$2:L$3,2,0),0))</f>
        <v>- Maserati, Nissan, Infiniti
- Front Camera Target</v>
      </c>
      <c r="H20" s="59">
        <v>523</v>
      </c>
      <c r="I20" s="65">
        <v>0.4</v>
      </c>
      <c r="J20" s="66">
        <f t="shared" si="0"/>
        <v>313.8</v>
      </c>
      <c r="K20" s="90"/>
    </row>
    <row r="21" spans="1:11" ht="99.95" customHeight="1" x14ac:dyDescent="0.25">
      <c r="A21" s="13"/>
      <c r="B21" s="53" t="e" vm="20">
        <v>#VALUE!</v>
      </c>
      <c r="C21" s="79" t="s">
        <v>243</v>
      </c>
      <c r="D21" s="80" t="s">
        <v>99</v>
      </c>
      <c r="E21" s="73" t="s">
        <v>266</v>
      </c>
      <c r="F21" s="82" t="s">
        <v>267</v>
      </c>
      <c r="G21" s="81" t="str">
        <f>IF(VLOOKUP(D21,Language!G:L,HLOOKUP($G$1,Language!H$2:L$3,2,0),0)="","",VLOOKUP(D21,Language!G:L,HLOOKUP($G$1,Language!H$2:L$3,2,0),0))</f>
        <v>- Nissan
- Park Assist</v>
      </c>
      <c r="H21" s="59">
        <v>1077</v>
      </c>
      <c r="I21" s="65">
        <v>0.4</v>
      </c>
      <c r="J21" s="66">
        <f t="shared" si="0"/>
        <v>646.19999999999993</v>
      </c>
      <c r="K21" s="90"/>
    </row>
    <row r="22" spans="1:11" ht="99.95" customHeight="1" x14ac:dyDescent="0.25">
      <c r="A22" s="13"/>
      <c r="B22" s="53"/>
      <c r="C22" s="79" t="s">
        <v>243</v>
      </c>
      <c r="D22" s="80" t="s">
        <v>101</v>
      </c>
      <c r="E22" s="73" t="s">
        <v>268</v>
      </c>
      <c r="F22" s="81"/>
      <c r="G22" s="81" t="str">
        <f>IF(VLOOKUP(D22,Language!G:L,HLOOKUP($G$1,Language!H$2:L$3,2,0),0)="","",VLOOKUP(D22,Language!G:L,HLOOKUP($G$1,Language!H$2:L$3,2,0),0))</f>
        <v>- Rear Camera</v>
      </c>
      <c r="H22" s="59">
        <v>1046</v>
      </c>
      <c r="I22" s="65">
        <v>0.4</v>
      </c>
      <c r="J22" s="66">
        <f t="shared" si="0"/>
        <v>627.6</v>
      </c>
      <c r="K22" s="90"/>
    </row>
    <row r="23" spans="1:11" ht="99.95" customHeight="1" x14ac:dyDescent="0.25">
      <c r="A23" s="13"/>
      <c r="B23" s="53" t="e" vm="21">
        <v>#VALUE!</v>
      </c>
      <c r="C23" s="79" t="s">
        <v>243</v>
      </c>
      <c r="D23" s="80" t="s">
        <v>106</v>
      </c>
      <c r="E23" s="73" t="s">
        <v>269</v>
      </c>
      <c r="F23" s="82" t="s">
        <v>839</v>
      </c>
      <c r="G23" s="81" t="str">
        <f>IF(VLOOKUP(D23,Language!G:L,HLOOKUP($G$1,Language!H$2:L$3,2,0),0)="","",VLOOKUP(D23,Language!G:L,HLOOKUP($G$1,Language!H$2:L$3,2,0),0))</f>
        <v>- Nissan
- 360 View</v>
      </c>
      <c r="H23" s="59">
        <v>2255</v>
      </c>
      <c r="I23" s="65">
        <v>0.4</v>
      </c>
      <c r="J23" s="66">
        <f t="shared" si="0"/>
        <v>1353</v>
      </c>
      <c r="K23" s="90"/>
    </row>
    <row r="24" spans="1:11" ht="99.95" customHeight="1" x14ac:dyDescent="0.25">
      <c r="A24" s="13"/>
      <c r="B24" s="53"/>
      <c r="C24" s="79" t="s">
        <v>243</v>
      </c>
      <c r="D24" s="80" t="s">
        <v>832</v>
      </c>
      <c r="E24" s="73" t="s">
        <v>833</v>
      </c>
      <c r="F24" s="82"/>
      <c r="G24" s="81"/>
      <c r="H24" s="59">
        <v>1400</v>
      </c>
      <c r="I24" s="65">
        <v>0.4</v>
      </c>
      <c r="J24" s="66">
        <f t="shared" ref="J24" si="2">+H24*(1-I24)</f>
        <v>840</v>
      </c>
      <c r="K24" s="90"/>
    </row>
    <row r="25" spans="1:11" ht="99.95" customHeight="1" x14ac:dyDescent="0.25">
      <c r="A25" s="13"/>
      <c r="B25" s="53" t="e" vm="22">
        <v>#VALUE!</v>
      </c>
      <c r="C25" s="79" t="s">
        <v>243</v>
      </c>
      <c r="D25" s="80" t="s">
        <v>110</v>
      </c>
      <c r="E25" s="73" t="s">
        <v>270</v>
      </c>
      <c r="F25" s="82" t="s">
        <v>271</v>
      </c>
      <c r="G25" s="81" t="str">
        <f>IF(VLOOKUP(D25,Language!G:L,HLOOKUP($G$1,Language!H$2:L$3,2,0),0)="","",VLOOKUP(D25,Language!G:L,HLOOKUP($G$1,Language!H$2:L$3,2,0),0))</f>
        <v>- Mercedes-Benz
- Night Vision Target</v>
      </c>
      <c r="H25" s="59">
        <v>1046</v>
      </c>
      <c r="I25" s="65">
        <v>0.4</v>
      </c>
      <c r="J25" s="66">
        <f t="shared" si="0"/>
        <v>627.6</v>
      </c>
      <c r="K25" s="90"/>
    </row>
    <row r="26" spans="1:11" ht="99.95" customHeight="1" x14ac:dyDescent="0.25">
      <c r="A26" s="13"/>
      <c r="B26" s="77" t="e" vm="23">
        <v>#VALUE!</v>
      </c>
      <c r="C26" s="79" t="s">
        <v>243</v>
      </c>
      <c r="D26" s="80" t="s">
        <v>114</v>
      </c>
      <c r="E26" s="73" t="s">
        <v>272</v>
      </c>
      <c r="F26" s="82" t="s">
        <v>273</v>
      </c>
      <c r="G26" s="81" t="str">
        <f>IF(VLOOKUP(D26,Language!G:L,HLOOKUP($G$1,Language!H$2:L$3,2,0),0)="","",VLOOKUP(D26,Language!G:L,HLOOKUP($G$1,Language!H$2:L$3,2,0),0))</f>
        <v>- Alfa Romeo, Fiat, Jeep, Seat, Skoda, Nissan, Infiniti, Renault, Audi, Bentley, Porsche, Volkswagen
- Front Radar Target</v>
      </c>
      <c r="H26" s="59">
        <v>1673</v>
      </c>
      <c r="I26" s="65">
        <v>0.4</v>
      </c>
      <c r="J26" s="66">
        <f t="shared" si="0"/>
        <v>1003.8</v>
      </c>
      <c r="K26" s="90"/>
    </row>
    <row r="27" spans="1:11" ht="99.95" customHeight="1" x14ac:dyDescent="0.25">
      <c r="A27" s="13"/>
      <c r="B27" s="77" t="e" vm="24">
        <v>#VALUE!</v>
      </c>
      <c r="C27" s="79" t="s">
        <v>243</v>
      </c>
      <c r="D27" s="80" t="s">
        <v>119</v>
      </c>
      <c r="E27" s="73" t="s">
        <v>274</v>
      </c>
      <c r="F27" s="82" t="s">
        <v>273</v>
      </c>
      <c r="G27" s="81" t="str">
        <f>IF(VLOOKUP(D27,Language!G:L,HLOOKUP($G$1,Language!H$2:L$3,2,0),0)="","",VLOOKUP(D27,Language!G:L,HLOOKUP($G$1,Language!H$2:L$3,2,0),0))</f>
        <v>- Man, Seat, Skoda, Mercedes-Benz, Toyota, Audi, Lamborghini, Volkswagen
- Front Radar Target</v>
      </c>
      <c r="H27" s="59">
        <v>1360</v>
      </c>
      <c r="I27" s="65">
        <v>0.4</v>
      </c>
      <c r="J27" s="66">
        <f t="shared" si="0"/>
        <v>816</v>
      </c>
      <c r="K27" s="90"/>
    </row>
    <row r="28" spans="1:11" ht="99.95" customHeight="1" x14ac:dyDescent="0.25">
      <c r="A28" s="13"/>
      <c r="B28" s="53"/>
      <c r="C28" s="79" t="s">
        <v>243</v>
      </c>
      <c r="D28" s="80" t="s">
        <v>834</v>
      </c>
      <c r="E28" s="73"/>
      <c r="F28" s="82" t="s">
        <v>853</v>
      </c>
      <c r="G28" s="81"/>
      <c r="H28" s="59">
        <v>2555</v>
      </c>
      <c r="I28" s="65">
        <v>0.4</v>
      </c>
      <c r="J28" s="66">
        <f t="shared" ref="J28" si="3">+H28*(1-I28)</f>
        <v>1533</v>
      </c>
      <c r="K28" s="90"/>
    </row>
    <row r="29" spans="1:11" ht="99.95" customHeight="1" x14ac:dyDescent="0.25">
      <c r="A29" s="13"/>
      <c r="B29" s="53" t="e" vm="25">
        <v>#VALUE!</v>
      </c>
      <c r="C29" s="79" t="s">
        <v>243</v>
      </c>
      <c r="D29" s="80" t="s">
        <v>124</v>
      </c>
      <c r="E29" s="73" t="s">
        <v>275</v>
      </c>
      <c r="F29" s="82" t="s">
        <v>276</v>
      </c>
      <c r="G29" s="81" t="str">
        <f>IF(VLOOKUP(D29,Language!G:L,HLOOKUP($G$1,Language!H$2:L$3,2,0),0)="","",VLOOKUP(D29,Language!G:L,HLOOKUP($G$1,Language!H$2:L$3,2,0),0))</f>
        <v>- Blind Spot Front Radar</v>
      </c>
      <c r="H29" s="59">
        <v>3764</v>
      </c>
      <c r="I29" s="65">
        <v>0.4</v>
      </c>
      <c r="J29" s="66">
        <f t="shared" si="0"/>
        <v>2258.4</v>
      </c>
      <c r="K29" s="90"/>
    </row>
    <row r="30" spans="1:11" ht="99.95" customHeight="1" x14ac:dyDescent="0.25">
      <c r="A30" s="13"/>
      <c r="B30" s="75" t="e" vm="26">
        <v>#VALUE!</v>
      </c>
      <c r="C30" s="79" t="s">
        <v>243</v>
      </c>
      <c r="D30" s="80" t="s">
        <v>126</v>
      </c>
      <c r="E30" s="73" t="s">
        <v>277</v>
      </c>
      <c r="F30" s="81" t="s">
        <v>245</v>
      </c>
      <c r="G30" s="81" t="str">
        <f>IF(VLOOKUP(D30,Language!G:L,HLOOKUP($G$1,Language!H$2:L$3,2,0),0)="","",VLOOKUP(D30,Language!G:L,HLOOKUP($G$1,Language!H$2:L$3,2,0),0))</f>
        <v>- Renault, Opel, Vauxhall, Smart
- Front Camera Target</v>
      </c>
      <c r="H30" s="59">
        <v>941</v>
      </c>
      <c r="I30" s="65">
        <v>0.4</v>
      </c>
      <c r="J30" s="66">
        <f t="shared" si="0"/>
        <v>564.6</v>
      </c>
      <c r="K30" s="90"/>
    </row>
    <row r="31" spans="1:11" ht="99.95" customHeight="1" x14ac:dyDescent="0.25">
      <c r="A31" s="13"/>
      <c r="B31" s="75" t="e" vm="27">
        <v>#VALUE!</v>
      </c>
      <c r="C31" s="79" t="s">
        <v>243</v>
      </c>
      <c r="D31" s="80" t="s">
        <v>131</v>
      </c>
      <c r="E31" s="73" t="s">
        <v>278</v>
      </c>
      <c r="F31" s="81" t="s">
        <v>245</v>
      </c>
      <c r="G31" s="81" t="str">
        <f>IF(VLOOKUP(D31,Language!G:L,HLOOKUP($G$1,Language!H$2:L$3,2,0),0)="","",VLOOKUP(D31,Language!G:L,HLOOKUP($G$1,Language!H$2:L$3,2,0),0))</f>
        <v>- Subaru
- Front Camera Target</v>
      </c>
      <c r="H31" s="59">
        <v>1255</v>
      </c>
      <c r="I31" s="65">
        <v>0.4</v>
      </c>
      <c r="J31" s="66">
        <f t="shared" si="0"/>
        <v>753</v>
      </c>
      <c r="K31" s="90"/>
    </row>
    <row r="32" spans="1:11" ht="99.95" customHeight="1" x14ac:dyDescent="0.25">
      <c r="A32" s="13"/>
      <c r="B32" s="75" t="e" vm="28">
        <v>#VALUE!</v>
      </c>
      <c r="C32" s="79" t="s">
        <v>243</v>
      </c>
      <c r="D32" s="80" t="s">
        <v>136</v>
      </c>
      <c r="E32" s="73" t="s">
        <v>279</v>
      </c>
      <c r="F32" s="82" t="s">
        <v>245</v>
      </c>
      <c r="G32" s="81" t="str">
        <f>IF(VLOOKUP(D32,Language!G:L,HLOOKUP($G$1,Language!H$2:L$3,2,0),0)="","",VLOOKUP(D32,Language!G:L,HLOOKUP($G$1,Language!H$2:L$3,2,0),0))</f>
        <v>- Subaru
- Front Camera Target</v>
      </c>
      <c r="H32" s="59">
        <v>1255</v>
      </c>
      <c r="I32" s="65">
        <v>0.4</v>
      </c>
      <c r="J32" s="66">
        <f t="shared" si="0"/>
        <v>753</v>
      </c>
      <c r="K32" s="90"/>
    </row>
    <row r="33" spans="1:11" ht="99.95" customHeight="1" x14ac:dyDescent="0.25">
      <c r="A33" s="13"/>
      <c r="B33" s="53"/>
      <c r="C33" s="79" t="s">
        <v>243</v>
      </c>
      <c r="D33" s="80" t="s">
        <v>836</v>
      </c>
      <c r="E33" s="73" t="s">
        <v>835</v>
      </c>
      <c r="F33" s="82"/>
      <c r="G33" s="81"/>
      <c r="H33" s="59">
        <v>654</v>
      </c>
      <c r="I33" s="65">
        <v>0.4</v>
      </c>
      <c r="J33" s="66">
        <f t="shared" si="0"/>
        <v>392.4</v>
      </c>
      <c r="K33" s="90"/>
    </row>
    <row r="34" spans="1:11" ht="99.95" customHeight="1" x14ac:dyDescent="0.25">
      <c r="A34" s="13"/>
      <c r="B34" s="75" t="e" vm="29">
        <v>#VALUE!</v>
      </c>
      <c r="C34" s="79" t="s">
        <v>243</v>
      </c>
      <c r="D34" s="80" t="s">
        <v>137</v>
      </c>
      <c r="E34" s="73" t="s">
        <v>280</v>
      </c>
      <c r="F34" s="81" t="s">
        <v>245</v>
      </c>
      <c r="G34" s="81" t="str">
        <f>IF(VLOOKUP(D34,Language!G:L,HLOOKUP($G$1,Language!H$2:L$3,2,0),0)="","",VLOOKUP(D34,Language!G:L,HLOOKUP($G$1,Language!H$2:L$3,2,0),0))</f>
        <v>- Suzuki
- Front Camera Target</v>
      </c>
      <c r="H34" s="59">
        <v>941</v>
      </c>
      <c r="I34" s="65">
        <v>0.4</v>
      </c>
      <c r="J34" s="66">
        <f t="shared" si="0"/>
        <v>564.6</v>
      </c>
      <c r="K34" s="90"/>
    </row>
    <row r="35" spans="1:11" ht="99.95" customHeight="1" x14ac:dyDescent="0.25">
      <c r="A35" s="13"/>
      <c r="B35" s="53" t="e" vm="30">
        <v>#VALUE!</v>
      </c>
      <c r="C35" s="79" t="s">
        <v>243</v>
      </c>
      <c r="D35" s="80" t="s">
        <v>142</v>
      </c>
      <c r="E35" s="73" t="s">
        <v>281</v>
      </c>
      <c r="F35" s="81" t="s">
        <v>245</v>
      </c>
      <c r="G35" s="81" t="str">
        <f>IF(VLOOKUP(D35,Language!G:L,HLOOKUP($G$1,Language!H$2:L$3,2,0),0)="","",VLOOKUP(D35,Language!G:L,HLOOKUP($G$1,Language!H$2:L$3,2,0),0))</f>
        <v>- Toyota, Lexus
- Front Camera Target</v>
      </c>
      <c r="H35" s="59">
        <v>314</v>
      </c>
      <c r="I35" s="65">
        <v>0.4</v>
      </c>
      <c r="J35" s="66">
        <f t="shared" si="0"/>
        <v>188.4</v>
      </c>
      <c r="K35" s="90"/>
    </row>
    <row r="36" spans="1:11" ht="99.95" customHeight="1" x14ac:dyDescent="0.25">
      <c r="A36" s="13"/>
      <c r="B36" s="75" t="e" vm="31">
        <v>#VALUE!</v>
      </c>
      <c r="C36" s="79" t="s">
        <v>243</v>
      </c>
      <c r="D36" s="80" t="s">
        <v>147</v>
      </c>
      <c r="E36" s="73" t="s">
        <v>282</v>
      </c>
      <c r="F36" s="81" t="s">
        <v>245</v>
      </c>
      <c r="G36" s="81" t="str">
        <f>IF(VLOOKUP(D36,Language!G:L,HLOOKUP($G$1,Language!H$2:L$3,2,0),0)="","",VLOOKUP(D36,Language!G:L,HLOOKUP($G$1,Language!H$2:L$3,2,0),0))</f>
        <v>- Toyota, Lexus
- Front Camera Target</v>
      </c>
      <c r="H36" s="59">
        <v>314</v>
      </c>
      <c r="I36" s="65">
        <v>0.4</v>
      </c>
      <c r="J36" s="66">
        <f t="shared" si="0"/>
        <v>188.4</v>
      </c>
      <c r="K36" s="90"/>
    </row>
    <row r="37" spans="1:11" ht="99.95" customHeight="1" x14ac:dyDescent="0.25">
      <c r="A37" s="13"/>
      <c r="B37" s="75" t="e" vm="32">
        <v>#VALUE!</v>
      </c>
      <c r="C37" s="79" t="s">
        <v>243</v>
      </c>
      <c r="D37" s="80" t="s">
        <v>148</v>
      </c>
      <c r="E37" s="73" t="s">
        <v>283</v>
      </c>
      <c r="F37" s="81" t="s">
        <v>245</v>
      </c>
      <c r="G37" s="81" t="str">
        <f>IF(VLOOKUP(D37,Language!G:L,HLOOKUP($G$1,Language!H$2:L$3,2,0),0)="","",VLOOKUP(D37,Language!G:L,HLOOKUP($G$1,Language!H$2:L$3,2,0),0))</f>
        <v>- Toyota, Lexus
- Front Camera Target</v>
      </c>
      <c r="H37" s="59">
        <v>314</v>
      </c>
      <c r="I37" s="65">
        <v>0.4</v>
      </c>
      <c r="J37" s="66">
        <f t="shared" si="0"/>
        <v>188.4</v>
      </c>
      <c r="K37" s="90"/>
    </row>
    <row r="38" spans="1:11" ht="99.95" customHeight="1" x14ac:dyDescent="0.25">
      <c r="A38" s="13"/>
      <c r="B38" s="53" t="e" vm="33">
        <v>#VALUE!</v>
      </c>
      <c r="C38" s="79" t="s">
        <v>243</v>
      </c>
      <c r="D38" s="80" t="s">
        <v>149</v>
      </c>
      <c r="E38" s="73" t="s">
        <v>284</v>
      </c>
      <c r="F38" s="81"/>
      <c r="G38" s="81" t="str">
        <f>IF(VLOOKUP(D38,Language!G:L,HLOOKUP($G$1,Language!H$2:L$3,2,0),0)="","",VLOOKUP(D38,Language!G:L,HLOOKUP($G$1,Language!H$2:L$3,2,0),0))</f>
        <v>- Rear Camera Target 
and
360 View</v>
      </c>
      <c r="H38" s="59">
        <v>941</v>
      </c>
      <c r="I38" s="65">
        <v>0.4</v>
      </c>
      <c r="J38" s="66">
        <f t="shared" si="0"/>
        <v>564.6</v>
      </c>
      <c r="K38" s="90"/>
    </row>
    <row r="39" spans="1:11" ht="99.95" customHeight="1" x14ac:dyDescent="0.25">
      <c r="A39" s="13"/>
      <c r="B39" s="75" t="e" vm="34">
        <v>#VALUE!</v>
      </c>
      <c r="C39" s="79" t="s">
        <v>243</v>
      </c>
      <c r="D39" s="80" t="s">
        <v>151</v>
      </c>
      <c r="E39" s="73" t="s">
        <v>285</v>
      </c>
      <c r="F39" s="81" t="s">
        <v>245</v>
      </c>
      <c r="G39" s="81" t="str">
        <f>IF(VLOOKUP(D39,Language!G:L,HLOOKUP($G$1,Language!H$2:L$3,2,0),0)="","",VLOOKUP(D39,Language!G:L,HLOOKUP($G$1,Language!H$2:L$3,2,0),0))</f>
        <v>- MAN, Seat, Skoda, Audi, Bentley, Lamborghini, Porsche, Volkswagen
- Front Camera Target</v>
      </c>
      <c r="H39" s="59">
        <v>1255</v>
      </c>
      <c r="I39" s="65">
        <v>0.4</v>
      </c>
      <c r="J39" s="66">
        <f t="shared" si="0"/>
        <v>753</v>
      </c>
      <c r="K39" s="90"/>
    </row>
    <row r="40" spans="1:11" ht="99.95" customHeight="1" x14ac:dyDescent="0.25">
      <c r="A40" s="13"/>
      <c r="B40" s="77" t="e" vm="35">
        <v>#VALUE!</v>
      </c>
      <c r="C40" s="79" t="s">
        <v>243</v>
      </c>
      <c r="D40" s="80" t="s">
        <v>156</v>
      </c>
      <c r="E40" s="73" t="s">
        <v>286</v>
      </c>
      <c r="F40" s="82" t="s">
        <v>273</v>
      </c>
      <c r="G40" s="81" t="str">
        <f>IF(VLOOKUP(D40,Language!G:L,HLOOKUP($G$1,Language!H$2:L$3,2,0),0)="","",VLOOKUP(D40,Language!G:L,HLOOKUP($G$1,Language!H$2:L$3,2,0),0))</f>
        <v>- Lidar Calibration Target for Audi and Lamborghini
- Front Lidar</v>
      </c>
      <c r="H40" s="59">
        <v>3346</v>
      </c>
      <c r="I40" s="65">
        <v>0.4</v>
      </c>
      <c r="J40" s="66">
        <f t="shared" si="0"/>
        <v>2007.6</v>
      </c>
      <c r="K40" s="90"/>
    </row>
    <row r="41" spans="1:11" ht="99.95" customHeight="1" x14ac:dyDescent="0.25">
      <c r="A41" s="13"/>
      <c r="B41" s="77" t="e" vm="36">
        <v>#VALUE!</v>
      </c>
      <c r="C41" s="79" t="s">
        <v>243</v>
      </c>
      <c r="D41" s="80" t="s">
        <v>161</v>
      </c>
      <c r="E41" s="73" t="s">
        <v>287</v>
      </c>
      <c r="F41" s="82" t="s">
        <v>247</v>
      </c>
      <c r="G41" s="81" t="str">
        <f>IF(VLOOKUP(D41,Language!G:L,HLOOKUP($G$1,Language!H$2:L$3,2,0),0)="","",VLOOKUP(D41,Language!G:L,HLOOKUP($G$1,Language!H$2:L$3,2,0),0))</f>
        <v>- Skoda, Audi, Bentley, Lamborghini, Porsche,
- Volkswagen 360 View</v>
      </c>
      <c r="H41" s="59">
        <v>2301</v>
      </c>
      <c r="I41" s="65">
        <v>0.4</v>
      </c>
      <c r="J41" s="66">
        <f t="shared" si="0"/>
        <v>1380.6</v>
      </c>
      <c r="K41" s="90"/>
    </row>
    <row r="42" spans="1:11" ht="99.95" customHeight="1" x14ac:dyDescent="0.25">
      <c r="A42" s="13"/>
      <c r="B42" s="77" t="e" vm="37">
        <v>#VALUE!</v>
      </c>
      <c r="C42" s="79" t="s">
        <v>243</v>
      </c>
      <c r="D42" s="80" t="s">
        <v>166</v>
      </c>
      <c r="E42" s="73" t="s">
        <v>288</v>
      </c>
      <c r="F42" s="82" t="s">
        <v>289</v>
      </c>
      <c r="G42" s="81" t="str">
        <f>IF(VLOOKUP(D42,Language!G:L,HLOOKUP($G$1,Language!H$2:L$3,2,0),0)="","",VLOOKUP(D42,Language!G:L,HLOOKUP($G$1,Language!H$2:L$3,2,0),0))</f>
        <v>- Mazda and VWG
- Blind Spot Doppler</v>
      </c>
      <c r="H42" s="59">
        <v>5228</v>
      </c>
      <c r="I42" s="65">
        <v>0.4</v>
      </c>
      <c r="J42" s="66">
        <f t="shared" si="0"/>
        <v>3136.7999999999997</v>
      </c>
      <c r="K42" s="90"/>
    </row>
    <row r="43" spans="1:11" ht="99.95" customHeight="1" x14ac:dyDescent="0.25">
      <c r="A43" s="13"/>
      <c r="B43" s="53"/>
      <c r="C43" s="79" t="s">
        <v>243</v>
      </c>
      <c r="D43" s="80" t="s">
        <v>179</v>
      </c>
      <c r="E43" s="73" t="s">
        <v>295</v>
      </c>
      <c r="F43" s="81" t="s">
        <v>245</v>
      </c>
      <c r="G43" s="81" t="str">
        <f>IF(VLOOKUP(D43,Language!G:L,HLOOKUP($G$1,Language!H$2:L$3,2,0),0)="","",VLOOKUP(D43,Language!G:L,HLOOKUP($G$1,Language!H$2:L$3,2,0),0))</f>
        <v/>
      </c>
      <c r="H43" s="59">
        <v>2685</v>
      </c>
      <c r="I43" s="65">
        <v>0.4</v>
      </c>
      <c r="J43" s="66">
        <f t="shared" si="0"/>
        <v>1611</v>
      </c>
      <c r="K43" s="90"/>
    </row>
    <row r="44" spans="1:11" ht="35.1" customHeight="1" x14ac:dyDescent="0.25">
      <c r="A44" s="13"/>
      <c r="B44" s="94"/>
      <c r="C44" s="95"/>
      <c r="D44" s="96"/>
      <c r="E44" s="97"/>
      <c r="F44" s="98"/>
      <c r="G44" s="98"/>
      <c r="H44" s="99"/>
      <c r="I44" s="100"/>
      <c r="J44" s="101"/>
      <c r="K44" s="90"/>
    </row>
    <row r="45" spans="1:11" ht="99.95" customHeight="1" x14ac:dyDescent="0.25">
      <c r="A45" s="13"/>
      <c r="B45" s="53" t="e" vm="38">
        <v>#VALUE!</v>
      </c>
      <c r="C45" s="79" t="s">
        <v>236</v>
      </c>
      <c r="D45" s="80" t="s">
        <v>180</v>
      </c>
      <c r="E45" s="73" t="s">
        <v>296</v>
      </c>
      <c r="F45" s="81" t="s">
        <v>245</v>
      </c>
      <c r="G45" s="81" t="str">
        <f>IF(VLOOKUP(D45,Language!G:L,HLOOKUP($G$1,Language!H$2:L$3,2,0),0)="","",VLOOKUP(D45,Language!G:L,HLOOKUP($G$1,Language!H$2:L$3,2,0),0))</f>
        <v>- Bracket</v>
      </c>
      <c r="H45" s="59">
        <v>1224</v>
      </c>
      <c r="I45" s="65">
        <v>0.4</v>
      </c>
      <c r="J45" s="66">
        <f t="shared" si="0"/>
        <v>734.4</v>
      </c>
      <c r="K45" s="90"/>
    </row>
    <row r="46" spans="1:11" ht="99.95" customHeight="1" x14ac:dyDescent="0.25">
      <c r="A46" s="13"/>
      <c r="B46" s="53" t="e" vm="39">
        <v>#VALUE!</v>
      </c>
      <c r="C46" s="79" t="s">
        <v>236</v>
      </c>
      <c r="D46" s="80" t="s">
        <v>171</v>
      </c>
      <c r="E46" s="73" t="s">
        <v>290</v>
      </c>
      <c r="F46" s="81" t="s">
        <v>291</v>
      </c>
      <c r="G46" s="81" t="str">
        <f>IF(VLOOKUP(D46,Language!G:L,HLOOKUP($G$1,Language!H$2:L$3,2,0),0)="","",VLOOKUP(D46,Language!G:L,HLOOKUP($G$1,Language!H$2:L$3,2,0),0))</f>
        <v>- Rear Camera</v>
      </c>
      <c r="H46" s="59">
        <v>6796</v>
      </c>
      <c r="I46" s="65">
        <v>0.4</v>
      </c>
      <c r="J46" s="66">
        <f>+H46*(1-I46)</f>
        <v>4077.6</v>
      </c>
      <c r="K46" s="90"/>
    </row>
    <row r="47" spans="1:11" ht="99.95" customHeight="1" x14ac:dyDescent="0.25">
      <c r="A47" s="13"/>
      <c r="B47" s="53" t="e" vm="40">
        <v>#VALUE!</v>
      </c>
      <c r="C47" s="79" t="s">
        <v>236</v>
      </c>
      <c r="D47" s="80" t="s">
        <v>172</v>
      </c>
      <c r="E47" s="73" t="s">
        <v>292</v>
      </c>
      <c r="F47" s="81" t="s">
        <v>293</v>
      </c>
      <c r="G47" s="81" t="str">
        <f>IF(VLOOKUP(D47,Language!G:L,HLOOKUP($G$1,Language!H$2:L$3,2,0),0)="","",VLOOKUP(D47,Language!G:L,HLOOKUP($G$1,Language!H$2:L$3,2,0),0))</f>
        <v>- Cross Target</v>
      </c>
      <c r="H47" s="59">
        <v>3764</v>
      </c>
      <c r="I47" s="65">
        <v>0.4</v>
      </c>
      <c r="J47" s="66">
        <f>+H47*(1-I47)</f>
        <v>2258.4</v>
      </c>
      <c r="K47" s="90"/>
    </row>
    <row r="48" spans="1:11" ht="99.95" customHeight="1" x14ac:dyDescent="0.25">
      <c r="A48" s="13"/>
      <c r="B48" s="53" t="e" vm="41">
        <v>#VALUE!</v>
      </c>
      <c r="C48" s="79" t="s">
        <v>236</v>
      </c>
      <c r="D48" s="80" t="s">
        <v>174</v>
      </c>
      <c r="E48" s="73" t="s">
        <v>294</v>
      </c>
      <c r="F48" s="81"/>
      <c r="G48" s="81" t="str">
        <f>IF(VLOOKUP(D48,Language!G:L,HLOOKUP($G$1,Language!H$2:L$3,2,0),0)="","",VLOOKUP(D48,Language!G:L,HLOOKUP($G$1,Language!H$2:L$3,2,0),0))</f>
        <v>- Rear Camera Target</v>
      </c>
      <c r="H48" s="59">
        <v>1482</v>
      </c>
      <c r="I48" s="65">
        <v>0.4</v>
      </c>
      <c r="J48" s="66">
        <f>+H48*(1-I48)</f>
        <v>889.19999999999993</v>
      </c>
      <c r="K48" s="90"/>
    </row>
    <row r="49" spans="1:11" ht="99.95" customHeight="1" x14ac:dyDescent="0.25">
      <c r="A49" s="13"/>
      <c r="B49" s="53" t="e" vm="42">
        <v>#VALUE!</v>
      </c>
      <c r="C49" s="79" t="s">
        <v>236</v>
      </c>
      <c r="D49" s="80" t="s">
        <v>69</v>
      </c>
      <c r="E49" s="73" t="s">
        <v>258</v>
      </c>
      <c r="F49" s="81"/>
      <c r="G49" s="81" t="str">
        <f>IF(VLOOKUP(D49,Language!G:L,HLOOKUP($G$1,Language!H$2:L$3,2,0),0)="","",VLOOKUP(D49,Language!G:L,HLOOKUP($G$1,Language!H$2:L$3,2,0),0))</f>
        <v>- Mercedes-Benz
- Rear Camera Target</v>
      </c>
      <c r="H49" s="59">
        <v>252</v>
      </c>
      <c r="I49" s="65">
        <v>0.4</v>
      </c>
      <c r="J49" s="66">
        <f>+H49*(1-I49)</f>
        <v>151.19999999999999</v>
      </c>
      <c r="K49" s="90"/>
    </row>
    <row r="50" spans="1:11" ht="99.95" customHeight="1" x14ac:dyDescent="0.25">
      <c r="A50" s="13"/>
      <c r="B50" s="53"/>
      <c r="C50" s="79" t="s">
        <v>236</v>
      </c>
      <c r="D50" s="80" t="s">
        <v>74</v>
      </c>
      <c r="E50" s="73" t="s">
        <v>259</v>
      </c>
      <c r="F50" s="81" t="s">
        <v>260</v>
      </c>
      <c r="G50" s="81" t="str">
        <f>IF(VLOOKUP(D50,Language!G:L,HLOOKUP($G$1,Language!H$2:L$3,2,0),0)="","",VLOOKUP(D50,Language!G:L,HLOOKUP($G$1,Language!H$2:L$3,2,0),0))</f>
        <v>- Including Bracket MB-TBAR-01
- Rear Camera</v>
      </c>
      <c r="H50" s="59">
        <v>1360</v>
      </c>
      <c r="I50" s="128">
        <v>0.4</v>
      </c>
      <c r="J50" s="129">
        <f>+H50*(1-I50)</f>
        <v>816</v>
      </c>
      <c r="K50" s="90"/>
    </row>
    <row r="51" spans="1:11" ht="35.1" customHeight="1" x14ac:dyDescent="0.25">
      <c r="A51" s="13"/>
      <c r="B51" s="94"/>
      <c r="C51" s="95"/>
      <c r="D51" s="96"/>
      <c r="E51" s="97"/>
      <c r="F51" s="98"/>
      <c r="G51" s="98"/>
      <c r="H51" s="99"/>
      <c r="I51" s="131"/>
      <c r="J51" s="132"/>
      <c r="K51" s="90"/>
    </row>
    <row r="52" spans="1:11" ht="99.95" customHeight="1" x14ac:dyDescent="0.25">
      <c r="A52" s="13"/>
      <c r="B52" s="77" t="e" vm="43">
        <v>#VALUE!</v>
      </c>
      <c r="C52" s="79" t="s">
        <v>234</v>
      </c>
      <c r="D52" s="80" t="s">
        <v>185</v>
      </c>
      <c r="E52" s="73" t="s">
        <v>297</v>
      </c>
      <c r="F52" s="82" t="s">
        <v>298</v>
      </c>
      <c r="G52" s="81" t="str">
        <f>IF(VLOOKUP(D52,Language!G:L,HLOOKUP($G$1,Language!H$2:L$3,2,0),0)="","",VLOOKUP(D52,Language!G:L,HLOOKUP($G$1,Language!H$2:L$3,2,0),0))</f>
        <v>- Front Camera Extension Arm
- Front Camera</v>
      </c>
      <c r="H52" s="59">
        <v>1255</v>
      </c>
      <c r="I52" s="65">
        <v>0.4</v>
      </c>
      <c r="J52" s="130">
        <f t="shared" si="0"/>
        <v>753</v>
      </c>
      <c r="K52" s="90"/>
    </row>
    <row r="53" spans="1:11" ht="99.95" customHeight="1" x14ac:dyDescent="0.25">
      <c r="A53" s="13"/>
      <c r="B53" s="78" t="e" vm="44">
        <v>#VALUE!</v>
      </c>
      <c r="C53" s="79" t="s">
        <v>234</v>
      </c>
      <c r="D53" s="80" t="s">
        <v>190</v>
      </c>
      <c r="E53" s="73" t="s">
        <v>299</v>
      </c>
      <c r="F53" s="82" t="s">
        <v>298</v>
      </c>
      <c r="G53" s="81" t="str">
        <f>IF(VLOOKUP(D53,Language!G:L,HLOOKUP($G$1,Language!H$2:L$3,2,0),0)="","",VLOOKUP(D53,Language!G:L,HLOOKUP($G$1,Language!H$2:L$3,2,0),0))</f>
        <v>- Brackets
- Front Camera</v>
      </c>
      <c r="H53" s="59">
        <v>199</v>
      </c>
      <c r="I53" s="65">
        <v>0.4</v>
      </c>
      <c r="J53" s="66">
        <f t="shared" si="0"/>
        <v>119.39999999999999</v>
      </c>
      <c r="K53" s="90"/>
    </row>
    <row r="54" spans="1:11" ht="99.95" customHeight="1" x14ac:dyDescent="0.25">
      <c r="A54" s="13"/>
      <c r="B54" s="77" t="e" vm="45">
        <v>#VALUE!</v>
      </c>
      <c r="C54" s="79" t="s">
        <v>234</v>
      </c>
      <c r="D54" s="80" t="s">
        <v>195</v>
      </c>
      <c r="E54" s="73" t="s">
        <v>300</v>
      </c>
      <c r="F54" s="82" t="s">
        <v>298</v>
      </c>
      <c r="G54" s="81" t="str">
        <f>IF(VLOOKUP(D54,Language!G:L,HLOOKUP($G$1,Language!H$2:L$3,2,0),0)="","",VLOOKUP(D54,Language!G:L,HLOOKUP($G$1,Language!H$2:L$3,2,0),0))</f>
        <v>- Support for RAD-04, RAD-05, NV-01, VAG-FL-01
- Front Radar</v>
      </c>
      <c r="H54" s="59">
        <v>600</v>
      </c>
      <c r="I54" s="65">
        <v>0.4</v>
      </c>
      <c r="J54" s="66">
        <f t="shared" si="0"/>
        <v>360</v>
      </c>
      <c r="K54" s="90"/>
    </row>
    <row r="55" spans="1:11" ht="99.95" customHeight="1" x14ac:dyDescent="0.25">
      <c r="A55" s="13"/>
      <c r="B55" s="53"/>
      <c r="C55" s="79" t="s">
        <v>234</v>
      </c>
      <c r="D55" s="80" t="s">
        <v>829</v>
      </c>
      <c r="E55" s="73" t="s">
        <v>828</v>
      </c>
      <c r="F55" s="82"/>
      <c r="G55" s="81"/>
      <c r="H55" s="59">
        <v>340</v>
      </c>
      <c r="I55" s="65">
        <v>0.4</v>
      </c>
      <c r="J55" s="66">
        <f t="shared" si="0"/>
        <v>204</v>
      </c>
      <c r="K55" s="90"/>
    </row>
    <row r="56" spans="1:11" ht="99.95" customHeight="1" x14ac:dyDescent="0.25">
      <c r="A56" s="13"/>
      <c r="B56" s="53" t="e" vm="46">
        <v>#VALUE!</v>
      </c>
      <c r="C56" s="79" t="s">
        <v>234</v>
      </c>
      <c r="D56" s="80" t="s">
        <v>197</v>
      </c>
      <c r="E56" s="73" t="s">
        <v>301</v>
      </c>
      <c r="F56" s="82" t="s">
        <v>302</v>
      </c>
      <c r="G56" s="81" t="str">
        <f>IF(VLOOKUP(D56,Language!G:L,HLOOKUP($G$1,Language!H$2:L$3,2,0),0)="","",VLOOKUP(D56,Language!G:L,HLOOKUP($G$1,Language!H$2:L$3,2,0),0))</f>
        <v>- Blind Spot Monitor Target
- Radar Blind Spot</v>
      </c>
      <c r="H56" s="59">
        <v>3555</v>
      </c>
      <c r="I56" s="65">
        <v>0.4</v>
      </c>
      <c r="J56" s="66">
        <f t="shared" si="0"/>
        <v>2133</v>
      </c>
      <c r="K56" s="90"/>
    </row>
    <row r="57" spans="1:11" ht="99.95" customHeight="1" x14ac:dyDescent="0.25">
      <c r="A57" s="13"/>
      <c r="B57" s="53"/>
      <c r="C57" s="79" t="s">
        <v>234</v>
      </c>
      <c r="D57" s="80" t="s">
        <v>817</v>
      </c>
      <c r="E57" s="73" t="s">
        <v>301</v>
      </c>
      <c r="F57" s="82" t="s">
        <v>818</v>
      </c>
      <c r="G57" s="81"/>
      <c r="H57" s="59">
        <v>1600</v>
      </c>
      <c r="I57" s="65">
        <v>0.4</v>
      </c>
      <c r="J57" s="66">
        <f t="shared" si="0"/>
        <v>960</v>
      </c>
      <c r="K57" s="90"/>
    </row>
    <row r="58" spans="1:11" ht="99.95" customHeight="1" x14ac:dyDescent="0.25">
      <c r="A58" s="13"/>
      <c r="B58" s="77" t="e" vm="47">
        <v>#VALUE!</v>
      </c>
      <c r="C58" s="79" t="s">
        <v>234</v>
      </c>
      <c r="D58" s="80" t="s">
        <v>199</v>
      </c>
      <c r="E58" s="73" t="s">
        <v>303</v>
      </c>
      <c r="F58" s="82" t="s">
        <v>304</v>
      </c>
      <c r="G58" s="81" t="str">
        <f>IF(VLOOKUP(D58,Language!G:L,HLOOKUP($G$1,Language!H$2:L$3,2,0),0)="","",VLOOKUP(D58,Language!G:L,HLOOKUP($G$1,Language!H$2:L$3,2,0),0))</f>
        <v>- Mazda
- Blind Spot Doppler Bracket</v>
      </c>
      <c r="H58" s="59">
        <v>628</v>
      </c>
      <c r="I58" s="65">
        <v>0.4</v>
      </c>
      <c r="J58" s="66">
        <f t="shared" si="0"/>
        <v>376.8</v>
      </c>
      <c r="K58" s="90"/>
    </row>
    <row r="59" spans="1:11" ht="99.95" customHeight="1" x14ac:dyDescent="0.25">
      <c r="A59" s="13"/>
      <c r="B59" s="53"/>
      <c r="C59" s="79" t="s">
        <v>234</v>
      </c>
      <c r="D59" s="80"/>
      <c r="E59" s="73" t="s">
        <v>820</v>
      </c>
      <c r="F59" s="82"/>
      <c r="G59" s="81"/>
      <c r="H59" s="59">
        <v>205</v>
      </c>
      <c r="I59" s="65">
        <v>0.4</v>
      </c>
      <c r="J59" s="66">
        <f t="shared" si="0"/>
        <v>123</v>
      </c>
      <c r="K59" s="90"/>
    </row>
    <row r="60" spans="1:11" ht="99.95" customHeight="1" x14ac:dyDescent="0.25">
      <c r="A60" s="13"/>
      <c r="B60" s="53" t="e" vm="48">
        <v>#VALUE!</v>
      </c>
      <c r="C60" s="79" t="s">
        <v>234</v>
      </c>
      <c r="D60" s="80" t="s">
        <v>204</v>
      </c>
      <c r="E60" s="73" t="s">
        <v>305</v>
      </c>
      <c r="F60" s="82" t="s">
        <v>245</v>
      </c>
      <c r="G60" s="81" t="str">
        <f>IF(VLOOKUP(D60,Language!G:L,HLOOKUP($G$1,Language!H$2:L$3,2,0),0)="","",VLOOKUP(D60,Language!G:L,HLOOKUP($G$1,Language!H$2:L$3,2,0),0))</f>
        <v>- Front Camera Brackets</v>
      </c>
      <c r="H60" s="59">
        <v>127</v>
      </c>
      <c r="I60" s="65">
        <v>0.4</v>
      </c>
      <c r="J60" s="66">
        <f t="shared" si="0"/>
        <v>76.2</v>
      </c>
      <c r="K60" s="90"/>
    </row>
    <row r="61" spans="1:11" ht="99.95" customHeight="1" x14ac:dyDescent="0.25">
      <c r="A61" s="13"/>
      <c r="B61" s="53"/>
      <c r="C61" s="79" t="s">
        <v>234</v>
      </c>
      <c r="D61" s="80" t="s">
        <v>826</v>
      </c>
      <c r="E61" s="73"/>
      <c r="F61" s="82"/>
      <c r="G61" s="81"/>
      <c r="H61" s="59">
        <v>130</v>
      </c>
      <c r="I61" s="65">
        <v>0.4</v>
      </c>
      <c r="J61" s="66">
        <f t="shared" si="0"/>
        <v>78</v>
      </c>
      <c r="K61" s="90"/>
    </row>
    <row r="62" spans="1:11" ht="99.95" customHeight="1" x14ac:dyDescent="0.25">
      <c r="A62" s="13"/>
      <c r="B62" s="53"/>
      <c r="C62" s="79" t="s">
        <v>234</v>
      </c>
      <c r="D62" s="80" t="s">
        <v>827</v>
      </c>
      <c r="E62" s="73"/>
      <c r="F62" s="82"/>
      <c r="G62" s="81"/>
      <c r="H62" s="59">
        <v>15</v>
      </c>
      <c r="I62" s="65">
        <v>0.4</v>
      </c>
      <c r="J62" s="66">
        <f t="shared" si="0"/>
        <v>9</v>
      </c>
      <c r="K62" s="90"/>
    </row>
    <row r="63" spans="1:11" ht="99.95" customHeight="1" x14ac:dyDescent="0.25">
      <c r="A63" s="13"/>
      <c r="B63" s="77" t="e" vm="49">
        <v>#VALUE!</v>
      </c>
      <c r="C63" s="79" t="s">
        <v>234</v>
      </c>
      <c r="D63" s="80" t="s">
        <v>209</v>
      </c>
      <c r="E63" s="73" t="s">
        <v>306</v>
      </c>
      <c r="F63" s="82" t="s">
        <v>307</v>
      </c>
      <c r="G63" s="81" t="str">
        <f>IF(VLOOKUP(D63,Language!G:L,HLOOKUP($G$1,Language!H$2:L$3,2,0),0)="","",VLOOKUP(D63,Language!G:L,HLOOKUP($G$1,Language!H$2:L$3,2,0),0))</f>
        <v>- Used with HYU-SC-01 (EAK0362L73A), VAG-SC-01 (EAK0370J05A), VAG-SC-01 (EAK0370J05A) 
- 360 View</v>
      </c>
      <c r="H63" s="59">
        <v>2600</v>
      </c>
      <c r="I63" s="65">
        <v>0.4</v>
      </c>
      <c r="J63" s="66">
        <f t="shared" si="0"/>
        <v>1560</v>
      </c>
      <c r="K63" s="90"/>
    </row>
    <row r="64" spans="1:11" ht="99.95" customHeight="1" x14ac:dyDescent="0.25">
      <c r="A64" s="13"/>
      <c r="B64" s="53"/>
      <c r="C64" s="79" t="s">
        <v>234</v>
      </c>
      <c r="D64" s="80" t="s">
        <v>821</v>
      </c>
      <c r="E64" s="73" t="s">
        <v>306</v>
      </c>
      <c r="F64" s="82" t="s">
        <v>838</v>
      </c>
      <c r="G64" s="81"/>
      <c r="H64" s="59">
        <v>1300</v>
      </c>
      <c r="I64" s="65">
        <v>0.4</v>
      </c>
      <c r="J64" s="66">
        <f t="shared" si="0"/>
        <v>780</v>
      </c>
      <c r="K64" s="90"/>
    </row>
    <row r="65" spans="1:11" ht="99.95" customHeight="1" x14ac:dyDescent="0.25">
      <c r="A65" s="13"/>
      <c r="B65" s="53"/>
      <c r="C65" s="79" t="s">
        <v>234</v>
      </c>
      <c r="D65" s="80" t="s">
        <v>825</v>
      </c>
      <c r="E65" s="73" t="s">
        <v>824</v>
      </c>
      <c r="F65" s="82"/>
      <c r="G65" s="81"/>
      <c r="H65" s="59">
        <v>1360</v>
      </c>
      <c r="I65" s="65">
        <v>0.4</v>
      </c>
      <c r="J65" s="66">
        <f t="shared" si="0"/>
        <v>816</v>
      </c>
      <c r="K65" s="90"/>
    </row>
    <row r="66" spans="1:11" ht="99.95" customHeight="1" x14ac:dyDescent="0.25">
      <c r="A66" s="13"/>
      <c r="B66" s="53" t="e" vm="50">
        <v>#VALUE!</v>
      </c>
      <c r="C66" s="79" t="s">
        <v>234</v>
      </c>
      <c r="D66" s="80" t="s">
        <v>214</v>
      </c>
      <c r="E66" s="73" t="s">
        <v>308</v>
      </c>
      <c r="F66" s="81" t="s">
        <v>245</v>
      </c>
      <c r="G66" s="81" t="str">
        <f>IF(VLOOKUP(D66,Language!G:L,HLOOKUP($G$1,Language!H$2:L$3,2,0),0)="","",VLOOKUP(D66,Language!G:L,HLOOKUP($G$1,Language!H$2:L$3,2,0),0))</f>
        <v>- Stand for Target EAK0362L62A</v>
      </c>
      <c r="H66" s="59">
        <v>5228</v>
      </c>
      <c r="I66" s="65">
        <v>0.4</v>
      </c>
      <c r="J66" s="66">
        <f t="shared" si="0"/>
        <v>3136.7999999999997</v>
      </c>
      <c r="K66" s="90"/>
    </row>
    <row r="67" spans="1:11" ht="99.95" customHeight="1" x14ac:dyDescent="0.25">
      <c r="A67" s="13"/>
      <c r="B67" s="53" t="e" vm="51">
        <v>#VALUE!</v>
      </c>
      <c r="C67" s="79" t="s">
        <v>234</v>
      </c>
      <c r="D67" s="80">
        <v>4028515</v>
      </c>
      <c r="E67" s="73" t="s">
        <v>309</v>
      </c>
      <c r="F67" s="82" t="s">
        <v>310</v>
      </c>
      <c r="G67" s="81" t="str">
        <f>IF(VLOOKUP(D67,Language!G:L,HLOOKUP($G$1,Language!H$2:L$3,2,0),0)="","",VLOOKUP(D67,Language!G:L,HLOOKUP($G$1,Language!H$2:L$3,2,0),0))</f>
        <v>- Rear Blind spot radar validation</v>
      </c>
      <c r="H67" s="59">
        <v>931</v>
      </c>
      <c r="I67" s="65">
        <v>0.4</v>
      </c>
      <c r="J67" s="66">
        <f t="shared" si="0"/>
        <v>558.6</v>
      </c>
      <c r="K67" s="90"/>
    </row>
    <row r="68" spans="1:11" ht="99.95" customHeight="1" x14ac:dyDescent="0.25">
      <c r="A68" s="13"/>
      <c r="B68" s="53"/>
      <c r="C68" s="79" t="s">
        <v>234</v>
      </c>
      <c r="D68" s="80" t="s">
        <v>840</v>
      </c>
      <c r="E68" s="73" t="s">
        <v>841</v>
      </c>
      <c r="F68" s="81" t="s">
        <v>851</v>
      </c>
      <c r="G68" s="82" t="s">
        <v>850</v>
      </c>
      <c r="H68" s="59">
        <v>11000</v>
      </c>
      <c r="I68" s="65">
        <v>0.4</v>
      </c>
      <c r="J68" s="66">
        <f>+H68*(1-I68)</f>
        <v>6600</v>
      </c>
      <c r="K68" s="90"/>
    </row>
    <row r="69" spans="1:11" ht="99.95" customHeight="1" x14ac:dyDescent="0.25">
      <c r="A69" s="13"/>
      <c r="B69" s="53"/>
      <c r="C69" s="79" t="s">
        <v>234</v>
      </c>
      <c r="D69" s="80" t="s">
        <v>842</v>
      </c>
      <c r="E69" s="73" t="s">
        <v>843</v>
      </c>
      <c r="F69" s="81" t="s">
        <v>852</v>
      </c>
      <c r="G69" s="82" t="s">
        <v>850</v>
      </c>
      <c r="H69" s="59">
        <v>3600</v>
      </c>
      <c r="I69" s="65">
        <v>0.4</v>
      </c>
      <c r="J69" s="66">
        <f>+H69*(1-I69)</f>
        <v>2160</v>
      </c>
      <c r="K69" s="90"/>
    </row>
    <row r="70" spans="1:11" ht="99.95" customHeight="1" x14ac:dyDescent="0.25">
      <c r="A70" s="13"/>
      <c r="B70" s="53"/>
      <c r="C70" s="79" t="s">
        <v>234</v>
      </c>
      <c r="D70" s="80" t="s">
        <v>844</v>
      </c>
      <c r="E70" s="73" t="s">
        <v>845</v>
      </c>
      <c r="F70" s="81"/>
      <c r="G70" s="82" t="s">
        <v>850</v>
      </c>
      <c r="H70" s="59">
        <v>4750</v>
      </c>
      <c r="I70" s="65">
        <v>0.4</v>
      </c>
      <c r="J70" s="66">
        <f>+H70*(1-I70)</f>
        <v>2850</v>
      </c>
      <c r="K70" s="90"/>
    </row>
    <row r="71" spans="1:11" ht="99.95" customHeight="1" x14ac:dyDescent="0.25">
      <c r="A71" s="13"/>
      <c r="B71" s="53"/>
      <c r="C71" s="79" t="s">
        <v>234</v>
      </c>
      <c r="D71" s="80" t="s">
        <v>846</v>
      </c>
      <c r="E71" s="73" t="s">
        <v>847</v>
      </c>
      <c r="F71" s="82" t="s">
        <v>854</v>
      </c>
      <c r="G71" s="82" t="s">
        <v>850</v>
      </c>
      <c r="H71" s="59">
        <v>1800</v>
      </c>
      <c r="I71" s="65">
        <v>0.4</v>
      </c>
      <c r="J71" s="66">
        <f>+H71*(1-I71)</f>
        <v>1080</v>
      </c>
      <c r="K71" s="90"/>
    </row>
    <row r="72" spans="1:11" ht="99.95" customHeight="1" x14ac:dyDescent="0.25">
      <c r="A72" s="13"/>
      <c r="B72" s="53"/>
      <c r="C72" s="79" t="s">
        <v>234</v>
      </c>
      <c r="D72" s="80" t="s">
        <v>848</v>
      </c>
      <c r="E72" s="73" t="s">
        <v>849</v>
      </c>
      <c r="F72" s="81"/>
      <c r="G72" s="82" t="s">
        <v>850</v>
      </c>
      <c r="H72" s="59">
        <v>950</v>
      </c>
      <c r="I72" s="65">
        <v>0.4</v>
      </c>
      <c r="J72" s="66">
        <f>+H72*(1-I72)</f>
        <v>570</v>
      </c>
      <c r="K72" s="90"/>
    </row>
    <row r="73" spans="1:11" ht="35.1" customHeight="1" x14ac:dyDescent="0.25">
      <c r="A73" s="13"/>
      <c r="B73" s="94"/>
      <c r="C73" s="95"/>
      <c r="D73" s="96"/>
      <c r="E73" s="97"/>
      <c r="F73" s="98"/>
      <c r="G73" s="98"/>
      <c r="H73" s="99"/>
      <c r="I73" s="100"/>
      <c r="J73" s="101"/>
      <c r="K73" s="90"/>
    </row>
    <row r="74" spans="1:11" ht="99.95" customHeight="1" x14ac:dyDescent="0.25">
      <c r="A74" s="13"/>
      <c r="B74" s="53"/>
      <c r="C74" s="79" t="s">
        <v>822</v>
      </c>
      <c r="D74" s="80" t="s">
        <v>823</v>
      </c>
      <c r="E74" s="73"/>
      <c r="F74" s="82"/>
      <c r="G74" s="81"/>
      <c r="H74" s="59">
        <v>995</v>
      </c>
      <c r="I74" s="65">
        <v>0.4</v>
      </c>
      <c r="J74" s="66">
        <f t="shared" ref="J74" si="4">+H74*(1-I74)</f>
        <v>597</v>
      </c>
      <c r="K74" s="90"/>
    </row>
    <row r="75" spans="1:11" ht="99.95" customHeight="1" x14ac:dyDescent="0.25">
      <c r="A75" s="13"/>
      <c r="B75" s="103"/>
      <c r="C75" s="104" t="s">
        <v>311</v>
      </c>
      <c r="D75" s="80" t="s">
        <v>222</v>
      </c>
      <c r="E75" s="105" t="s">
        <v>312</v>
      </c>
      <c r="F75" s="106" t="s">
        <v>245</v>
      </c>
      <c r="G75" s="81" t="str">
        <f>IF(VLOOKUP(D75,Language!G:L,HLOOKUP($G$1,Language!H$2:L$3,2,0),0)="","",VLOOKUP(D75,Language!G:L,HLOOKUP($G$1,Language!H$2:L$3,2,0),0))</f>
        <v/>
      </c>
      <c r="H75" s="107">
        <v>3280</v>
      </c>
      <c r="I75" s="108">
        <v>0.4</v>
      </c>
      <c r="J75" s="109">
        <f t="shared" si="0"/>
        <v>1968</v>
      </c>
      <c r="K75" s="90"/>
    </row>
    <row r="76" spans="1:11" ht="69.95" customHeight="1" x14ac:dyDescent="0.25">
      <c r="A76" s="13"/>
      <c r="B76" s="71"/>
      <c r="C76" s="110"/>
      <c r="D76" s="110"/>
      <c r="E76" s="72"/>
      <c r="F76" s="85"/>
      <c r="G76" s="102"/>
      <c r="H76" s="111"/>
      <c r="I76" s="112"/>
      <c r="J76" s="113"/>
    </row>
  </sheetData>
  <autoFilter ref="B3:J43" xr:uid="{A45A94B2-8429-42E0-9A60-140F54326E1B}"/>
  <mergeCells count="1">
    <mergeCell ref="I1:J1"/>
  </mergeCells>
  <pageMargins left="0.7" right="0.7" top="0.75" bottom="0.75" header="0.3" footer="0.3"/>
  <pageSetup fitToHeight="0" orientation="landscape" r:id="rId1"/>
  <drawing r:id="rId2"/>
  <legacyDrawing r:id="rId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A612073F-FDEB-4DEC-B4B9-BDD808483E21}">
          <x14:formula1>
            <xm:f>Language!$A$2:$E$2</xm:f>
          </x14:formula1>
          <xm:sqref>G1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F69F5-27B7-4DB9-BC9B-1132E61C347A}">
  <dimension ref="A1:A511"/>
  <sheetViews>
    <sheetView zoomScale="80" zoomScaleNormal="80" workbookViewId="0">
      <selection activeCell="A28" sqref="A28"/>
    </sheetView>
  </sheetViews>
  <sheetFormatPr defaultRowHeight="15" x14ac:dyDescent="0.25"/>
  <cols>
    <col min="1" max="1" width="100.7109375" customWidth="1"/>
  </cols>
  <sheetData>
    <row r="1" spans="1:1" ht="15.75" x14ac:dyDescent="0.25">
      <c r="A1" s="1" t="s">
        <v>313</v>
      </c>
    </row>
    <row r="2" spans="1:1" ht="15.75" x14ac:dyDescent="0.25">
      <c r="A2" s="2"/>
    </row>
    <row r="3" spans="1:1" ht="15.75" x14ac:dyDescent="0.25">
      <c r="A3" s="3" t="s">
        <v>314</v>
      </c>
    </row>
    <row r="4" spans="1:1" ht="15.75" x14ac:dyDescent="0.25">
      <c r="A4" s="2" t="s">
        <v>315</v>
      </c>
    </row>
    <row r="5" spans="1:1" ht="15.75" x14ac:dyDescent="0.25">
      <c r="A5" s="2" t="s">
        <v>316</v>
      </c>
    </row>
    <row r="6" spans="1:1" ht="15.75" x14ac:dyDescent="0.25">
      <c r="A6" s="2" t="s">
        <v>317</v>
      </c>
    </row>
    <row r="7" spans="1:1" ht="15.75" x14ac:dyDescent="0.25">
      <c r="A7" s="2" t="s">
        <v>318</v>
      </c>
    </row>
    <row r="8" spans="1:1" ht="15.75" x14ac:dyDescent="0.25">
      <c r="A8" s="2" t="s">
        <v>319</v>
      </c>
    </row>
    <row r="9" spans="1:1" ht="15.75" x14ac:dyDescent="0.25">
      <c r="A9" s="2" t="s">
        <v>320</v>
      </c>
    </row>
    <row r="10" spans="1:1" ht="15.75" x14ac:dyDescent="0.25">
      <c r="A10" s="2" t="s">
        <v>321</v>
      </c>
    </row>
    <row r="11" spans="1:1" ht="15.75" x14ac:dyDescent="0.25">
      <c r="A11" s="2" t="s">
        <v>322</v>
      </c>
    </row>
    <row r="12" spans="1:1" ht="15.75" x14ac:dyDescent="0.25">
      <c r="A12" s="2" t="s">
        <v>323</v>
      </c>
    </row>
    <row r="13" spans="1:1" ht="15.75" x14ac:dyDescent="0.25">
      <c r="A13" s="2" t="s">
        <v>324</v>
      </c>
    </row>
    <row r="14" spans="1:1" ht="15.75" x14ac:dyDescent="0.25">
      <c r="A14" s="2" t="s">
        <v>325</v>
      </c>
    </row>
    <row r="15" spans="1:1" ht="15.75" x14ac:dyDescent="0.25">
      <c r="A15" s="2" t="s">
        <v>326</v>
      </c>
    </row>
    <row r="16" spans="1:1" ht="15.75" x14ac:dyDescent="0.25">
      <c r="A16" s="2" t="s">
        <v>327</v>
      </c>
    </row>
    <row r="17" spans="1:1" ht="15.75" x14ac:dyDescent="0.25">
      <c r="A17" s="2" t="s">
        <v>328</v>
      </c>
    </row>
    <row r="18" spans="1:1" ht="15.75" x14ac:dyDescent="0.25">
      <c r="A18" s="2" t="s">
        <v>329</v>
      </c>
    </row>
    <row r="19" spans="1:1" ht="15.75" x14ac:dyDescent="0.25">
      <c r="A19" s="3" t="s">
        <v>330</v>
      </c>
    </row>
    <row r="20" spans="1:1" ht="15.75" x14ac:dyDescent="0.25">
      <c r="A20" s="2" t="s">
        <v>331</v>
      </c>
    </row>
    <row r="21" spans="1:1" ht="15.75" x14ac:dyDescent="0.25">
      <c r="A21" s="2" t="s">
        <v>332</v>
      </c>
    </row>
    <row r="22" spans="1:1" ht="15.75" x14ac:dyDescent="0.25">
      <c r="A22" s="2" t="s">
        <v>333</v>
      </c>
    </row>
    <row r="23" spans="1:1" ht="15.75" x14ac:dyDescent="0.25">
      <c r="A23" s="2" t="s">
        <v>334</v>
      </c>
    </row>
    <row r="24" spans="1:1" ht="15.75" x14ac:dyDescent="0.25">
      <c r="A24" s="2" t="s">
        <v>335</v>
      </c>
    </row>
    <row r="25" spans="1:1" ht="15.75" x14ac:dyDescent="0.25">
      <c r="A25" s="2" t="s">
        <v>336</v>
      </c>
    </row>
    <row r="26" spans="1:1" ht="15.75" x14ac:dyDescent="0.25">
      <c r="A26" s="2" t="s">
        <v>337</v>
      </c>
    </row>
    <row r="27" spans="1:1" ht="15.75" x14ac:dyDescent="0.25">
      <c r="A27" s="2" t="s">
        <v>338</v>
      </c>
    </row>
    <row r="28" spans="1:1" ht="15.75" x14ac:dyDescent="0.25">
      <c r="A28" s="2" t="s">
        <v>339</v>
      </c>
    </row>
    <row r="29" spans="1:1" ht="15.75" x14ac:dyDescent="0.25">
      <c r="A29" s="2" t="s">
        <v>340</v>
      </c>
    </row>
    <row r="30" spans="1:1" ht="15.75" x14ac:dyDescent="0.25">
      <c r="A30" s="2" t="s">
        <v>341</v>
      </c>
    </row>
    <row r="31" spans="1:1" ht="15.75" x14ac:dyDescent="0.25">
      <c r="A31" s="2" t="s">
        <v>342</v>
      </c>
    </row>
    <row r="32" spans="1:1" ht="15.75" x14ac:dyDescent="0.25">
      <c r="A32" s="2" t="s">
        <v>343</v>
      </c>
    </row>
    <row r="33" spans="1:1" ht="15.75" x14ac:dyDescent="0.25">
      <c r="A33" s="3" t="s">
        <v>344</v>
      </c>
    </row>
    <row r="34" spans="1:1" ht="15.75" x14ac:dyDescent="0.25">
      <c r="A34" s="2" t="s">
        <v>345</v>
      </c>
    </row>
    <row r="35" spans="1:1" ht="15.75" x14ac:dyDescent="0.25">
      <c r="A35" s="2" t="s">
        <v>346</v>
      </c>
    </row>
    <row r="36" spans="1:1" ht="15.75" x14ac:dyDescent="0.25">
      <c r="A36" s="2" t="s">
        <v>347</v>
      </c>
    </row>
    <row r="37" spans="1:1" ht="15.75" x14ac:dyDescent="0.25">
      <c r="A37" s="2" t="s">
        <v>348</v>
      </c>
    </row>
    <row r="38" spans="1:1" ht="15.75" x14ac:dyDescent="0.25">
      <c r="A38" s="2" t="s">
        <v>349</v>
      </c>
    </row>
    <row r="39" spans="1:1" ht="15.75" x14ac:dyDescent="0.25">
      <c r="A39" s="2" t="s">
        <v>350</v>
      </c>
    </row>
    <row r="40" spans="1:1" ht="15.75" x14ac:dyDescent="0.25">
      <c r="A40" s="2" t="s">
        <v>351</v>
      </c>
    </row>
    <row r="41" spans="1:1" ht="15.75" x14ac:dyDescent="0.25">
      <c r="A41" s="2" t="s">
        <v>352</v>
      </c>
    </row>
    <row r="42" spans="1:1" ht="15.75" x14ac:dyDescent="0.25">
      <c r="A42" s="2" t="s">
        <v>353</v>
      </c>
    </row>
    <row r="43" spans="1:1" ht="15.75" x14ac:dyDescent="0.25">
      <c r="A43" s="2" t="s">
        <v>354</v>
      </c>
    </row>
    <row r="44" spans="1:1" ht="15.75" x14ac:dyDescent="0.25">
      <c r="A44" s="2" t="s">
        <v>355</v>
      </c>
    </row>
    <row r="45" spans="1:1" ht="15.75" x14ac:dyDescent="0.25">
      <c r="A45" s="2" t="s">
        <v>356</v>
      </c>
    </row>
    <row r="46" spans="1:1" ht="15.75" x14ac:dyDescent="0.25">
      <c r="A46" s="2" t="s">
        <v>357</v>
      </c>
    </row>
    <row r="47" spans="1:1" ht="15.75" x14ac:dyDescent="0.25">
      <c r="A47" s="2" t="s">
        <v>358</v>
      </c>
    </row>
    <row r="48" spans="1:1" ht="15.75" x14ac:dyDescent="0.25">
      <c r="A48" s="2" t="s">
        <v>359</v>
      </c>
    </row>
    <row r="49" spans="1:1" ht="15.75" x14ac:dyDescent="0.25">
      <c r="A49" s="2" t="s">
        <v>360</v>
      </c>
    </row>
    <row r="50" spans="1:1" ht="15.75" x14ac:dyDescent="0.25">
      <c r="A50" s="2" t="s">
        <v>361</v>
      </c>
    </row>
    <row r="51" spans="1:1" ht="15.75" x14ac:dyDescent="0.25">
      <c r="A51" s="2" t="s">
        <v>362</v>
      </c>
    </row>
    <row r="52" spans="1:1" ht="15.75" x14ac:dyDescent="0.25">
      <c r="A52" s="2" t="s">
        <v>363</v>
      </c>
    </row>
    <row r="53" spans="1:1" ht="15.75" x14ac:dyDescent="0.25">
      <c r="A53" s="2" t="s">
        <v>364</v>
      </c>
    </row>
    <row r="54" spans="1:1" ht="15.75" x14ac:dyDescent="0.25">
      <c r="A54" s="2" t="s">
        <v>365</v>
      </c>
    </row>
    <row r="55" spans="1:1" ht="15.75" x14ac:dyDescent="0.25">
      <c r="A55" s="2" t="s">
        <v>366</v>
      </c>
    </row>
    <row r="56" spans="1:1" ht="15.75" x14ac:dyDescent="0.25">
      <c r="A56" s="2" t="s">
        <v>367</v>
      </c>
    </row>
    <row r="57" spans="1:1" ht="15.75" x14ac:dyDescent="0.25">
      <c r="A57" s="2" t="s">
        <v>368</v>
      </c>
    </row>
    <row r="58" spans="1:1" ht="15.75" x14ac:dyDescent="0.25">
      <c r="A58" s="3" t="s">
        <v>369</v>
      </c>
    </row>
    <row r="59" spans="1:1" ht="15.75" x14ac:dyDescent="0.25">
      <c r="A59" s="2" t="s">
        <v>370</v>
      </c>
    </row>
    <row r="60" spans="1:1" ht="15.75" x14ac:dyDescent="0.25">
      <c r="A60" s="2" t="s">
        <v>371</v>
      </c>
    </row>
    <row r="61" spans="1:1" ht="15.75" x14ac:dyDescent="0.25">
      <c r="A61" s="2" t="s">
        <v>372</v>
      </c>
    </row>
    <row r="62" spans="1:1" ht="15.75" x14ac:dyDescent="0.25">
      <c r="A62" s="2" t="s">
        <v>373</v>
      </c>
    </row>
    <row r="63" spans="1:1" ht="15.75" x14ac:dyDescent="0.25">
      <c r="A63" s="2" t="s">
        <v>374</v>
      </c>
    </row>
    <row r="64" spans="1:1" ht="15.75" x14ac:dyDescent="0.25">
      <c r="A64" s="2" t="s">
        <v>375</v>
      </c>
    </row>
    <row r="65" spans="1:1" ht="15.75" x14ac:dyDescent="0.25">
      <c r="A65" s="2" t="s">
        <v>376</v>
      </c>
    </row>
    <row r="66" spans="1:1" ht="15.75" x14ac:dyDescent="0.25">
      <c r="A66" s="2" t="s">
        <v>377</v>
      </c>
    </row>
    <row r="67" spans="1:1" ht="15.75" x14ac:dyDescent="0.25">
      <c r="A67" s="2" t="s">
        <v>378</v>
      </c>
    </row>
    <row r="68" spans="1:1" ht="15.75" x14ac:dyDescent="0.25">
      <c r="A68" s="2" t="s">
        <v>379</v>
      </c>
    </row>
    <row r="69" spans="1:1" ht="15.75" x14ac:dyDescent="0.25">
      <c r="A69" s="2" t="s">
        <v>380</v>
      </c>
    </row>
    <row r="70" spans="1:1" ht="15.75" x14ac:dyDescent="0.25">
      <c r="A70" s="2" t="s">
        <v>381</v>
      </c>
    </row>
    <row r="71" spans="1:1" ht="15.75" x14ac:dyDescent="0.25">
      <c r="A71" s="2" t="s">
        <v>382</v>
      </c>
    </row>
    <row r="72" spans="1:1" ht="15.75" x14ac:dyDescent="0.25">
      <c r="A72" s="2" t="s">
        <v>383</v>
      </c>
    </row>
    <row r="73" spans="1:1" ht="15.75" x14ac:dyDescent="0.25">
      <c r="A73" s="2" t="s">
        <v>384</v>
      </c>
    </row>
    <row r="74" spans="1:1" ht="15.75" x14ac:dyDescent="0.25">
      <c r="A74" s="2" t="s">
        <v>385</v>
      </c>
    </row>
    <row r="75" spans="1:1" ht="15.75" x14ac:dyDescent="0.25">
      <c r="A75" s="2" t="s">
        <v>386</v>
      </c>
    </row>
    <row r="76" spans="1:1" ht="15.75" x14ac:dyDescent="0.25">
      <c r="A76" s="2" t="s">
        <v>387</v>
      </c>
    </row>
    <row r="77" spans="1:1" ht="15.75" x14ac:dyDescent="0.25">
      <c r="A77" s="2" t="s">
        <v>388</v>
      </c>
    </row>
    <row r="78" spans="1:1" ht="15.75" x14ac:dyDescent="0.25">
      <c r="A78" s="2" t="s">
        <v>389</v>
      </c>
    </row>
    <row r="79" spans="1:1" ht="15.75" x14ac:dyDescent="0.25">
      <c r="A79" s="2" t="s">
        <v>390</v>
      </c>
    </row>
    <row r="80" spans="1:1" ht="15.75" x14ac:dyDescent="0.25">
      <c r="A80" s="2" t="s">
        <v>391</v>
      </c>
    </row>
    <row r="81" spans="1:1" ht="15.75" x14ac:dyDescent="0.25">
      <c r="A81" s="2" t="s">
        <v>392</v>
      </c>
    </row>
    <row r="82" spans="1:1" ht="15.75" x14ac:dyDescent="0.25">
      <c r="A82" s="2" t="s">
        <v>393</v>
      </c>
    </row>
    <row r="83" spans="1:1" ht="15.75" x14ac:dyDescent="0.25">
      <c r="A83" s="2" t="s">
        <v>394</v>
      </c>
    </row>
    <row r="84" spans="1:1" ht="15.75" x14ac:dyDescent="0.25">
      <c r="A84" s="2" t="s">
        <v>395</v>
      </c>
    </row>
    <row r="85" spans="1:1" ht="15.75" x14ac:dyDescent="0.25">
      <c r="A85" s="2" t="s">
        <v>396</v>
      </c>
    </row>
    <row r="86" spans="1:1" ht="15.75" x14ac:dyDescent="0.25">
      <c r="A86" s="2" t="s">
        <v>397</v>
      </c>
    </row>
    <row r="87" spans="1:1" ht="15.75" x14ac:dyDescent="0.25">
      <c r="A87" s="2" t="s">
        <v>398</v>
      </c>
    </row>
    <row r="88" spans="1:1" ht="15.75" x14ac:dyDescent="0.25">
      <c r="A88" s="2" t="s">
        <v>399</v>
      </c>
    </row>
    <row r="89" spans="1:1" ht="15.75" x14ac:dyDescent="0.25">
      <c r="A89" s="2" t="s">
        <v>400</v>
      </c>
    </row>
    <row r="90" spans="1:1" ht="15.75" x14ac:dyDescent="0.25">
      <c r="A90" s="2" t="s">
        <v>401</v>
      </c>
    </row>
    <row r="91" spans="1:1" ht="15.75" x14ac:dyDescent="0.25">
      <c r="A91" s="2" t="s">
        <v>402</v>
      </c>
    </row>
    <row r="92" spans="1:1" ht="15.75" x14ac:dyDescent="0.25">
      <c r="A92" s="2" t="s">
        <v>403</v>
      </c>
    </row>
    <row r="93" spans="1:1" ht="15.75" x14ac:dyDescent="0.25">
      <c r="A93" s="2" t="s">
        <v>404</v>
      </c>
    </row>
    <row r="94" spans="1:1" ht="15.75" x14ac:dyDescent="0.25">
      <c r="A94" s="2" t="s">
        <v>405</v>
      </c>
    </row>
    <row r="95" spans="1:1" ht="15.75" x14ac:dyDescent="0.25">
      <c r="A95" s="2" t="s">
        <v>406</v>
      </c>
    </row>
    <row r="96" spans="1:1" ht="15.75" x14ac:dyDescent="0.25">
      <c r="A96" s="2" t="s">
        <v>407</v>
      </c>
    </row>
    <row r="97" spans="1:1" ht="15.75" x14ac:dyDescent="0.25">
      <c r="A97" s="2" t="s">
        <v>408</v>
      </c>
    </row>
    <row r="98" spans="1:1" ht="15.75" x14ac:dyDescent="0.25">
      <c r="A98" s="2" t="s">
        <v>409</v>
      </c>
    </row>
    <row r="99" spans="1:1" ht="15.75" x14ac:dyDescent="0.25">
      <c r="A99" s="2" t="s">
        <v>410</v>
      </c>
    </row>
    <row r="100" spans="1:1" ht="15.75" x14ac:dyDescent="0.25">
      <c r="A100" s="2" t="s">
        <v>411</v>
      </c>
    </row>
    <row r="101" spans="1:1" ht="15.75" x14ac:dyDescent="0.25">
      <c r="A101" s="2" t="s">
        <v>412</v>
      </c>
    </row>
    <row r="102" spans="1:1" ht="15.75" x14ac:dyDescent="0.25">
      <c r="A102" s="2" t="s">
        <v>413</v>
      </c>
    </row>
    <row r="103" spans="1:1" ht="15.75" x14ac:dyDescent="0.25">
      <c r="A103" s="2" t="s">
        <v>414</v>
      </c>
    </row>
    <row r="104" spans="1:1" ht="15.75" x14ac:dyDescent="0.25">
      <c r="A104" s="2" t="s">
        <v>415</v>
      </c>
    </row>
    <row r="105" spans="1:1" ht="15.75" x14ac:dyDescent="0.25">
      <c r="A105" s="2" t="s">
        <v>416</v>
      </c>
    </row>
    <row r="106" spans="1:1" ht="15.75" x14ac:dyDescent="0.25">
      <c r="A106" s="2" t="s">
        <v>417</v>
      </c>
    </row>
    <row r="107" spans="1:1" ht="15.75" x14ac:dyDescent="0.25">
      <c r="A107" s="2" t="s">
        <v>418</v>
      </c>
    </row>
    <row r="108" spans="1:1" ht="15.75" x14ac:dyDescent="0.25">
      <c r="A108" s="2" t="s">
        <v>419</v>
      </c>
    </row>
    <row r="109" spans="1:1" ht="15.75" x14ac:dyDescent="0.25">
      <c r="A109" s="2" t="s">
        <v>420</v>
      </c>
    </row>
    <row r="110" spans="1:1" ht="15.75" x14ac:dyDescent="0.25">
      <c r="A110" s="2" t="s">
        <v>421</v>
      </c>
    </row>
    <row r="111" spans="1:1" ht="15.75" x14ac:dyDescent="0.25">
      <c r="A111" s="2" t="s">
        <v>422</v>
      </c>
    </row>
    <row r="112" spans="1:1" ht="15.75" x14ac:dyDescent="0.25">
      <c r="A112" s="3" t="s">
        <v>423</v>
      </c>
    </row>
    <row r="113" spans="1:1" ht="15.75" x14ac:dyDescent="0.25">
      <c r="A113" s="2" t="s">
        <v>424</v>
      </c>
    </row>
    <row r="114" spans="1:1" ht="15.75" x14ac:dyDescent="0.25">
      <c r="A114" s="2" t="s">
        <v>425</v>
      </c>
    </row>
    <row r="115" spans="1:1" ht="15.75" x14ac:dyDescent="0.25">
      <c r="A115" s="2" t="s">
        <v>426</v>
      </c>
    </row>
    <row r="116" spans="1:1" ht="15.75" x14ac:dyDescent="0.25">
      <c r="A116" s="2" t="s">
        <v>427</v>
      </c>
    </row>
    <row r="117" spans="1:1" ht="15.75" x14ac:dyDescent="0.25">
      <c r="A117" s="2" t="s">
        <v>428</v>
      </c>
    </row>
    <row r="118" spans="1:1" ht="15.75" x14ac:dyDescent="0.25">
      <c r="A118" s="2" t="s">
        <v>429</v>
      </c>
    </row>
    <row r="119" spans="1:1" ht="15.75" x14ac:dyDescent="0.25">
      <c r="A119" s="2" t="s">
        <v>430</v>
      </c>
    </row>
    <row r="120" spans="1:1" ht="15.75" x14ac:dyDescent="0.25">
      <c r="A120" s="2" t="s">
        <v>431</v>
      </c>
    </row>
    <row r="121" spans="1:1" ht="15.75" x14ac:dyDescent="0.25">
      <c r="A121" s="2" t="s">
        <v>432</v>
      </c>
    </row>
    <row r="122" spans="1:1" ht="15.75" x14ac:dyDescent="0.25">
      <c r="A122" s="2" t="s">
        <v>433</v>
      </c>
    </row>
    <row r="123" spans="1:1" ht="15.75" x14ac:dyDescent="0.25">
      <c r="A123" s="2" t="s">
        <v>434</v>
      </c>
    </row>
    <row r="124" spans="1:1" ht="15.75" x14ac:dyDescent="0.25">
      <c r="A124" s="2" t="s">
        <v>435</v>
      </c>
    </row>
    <row r="125" spans="1:1" ht="15.75" x14ac:dyDescent="0.25">
      <c r="A125" s="2" t="s">
        <v>436</v>
      </c>
    </row>
    <row r="126" spans="1:1" ht="15.75" x14ac:dyDescent="0.25">
      <c r="A126" s="2" t="s">
        <v>437</v>
      </c>
    </row>
    <row r="127" spans="1:1" ht="15.75" x14ac:dyDescent="0.25">
      <c r="A127" s="2" t="s">
        <v>438</v>
      </c>
    </row>
    <row r="128" spans="1:1" ht="15.75" x14ac:dyDescent="0.25">
      <c r="A128" s="2" t="s">
        <v>439</v>
      </c>
    </row>
    <row r="129" spans="1:1" ht="15.75" x14ac:dyDescent="0.25">
      <c r="A129" s="2" t="s">
        <v>440</v>
      </c>
    </row>
    <row r="130" spans="1:1" ht="15.75" x14ac:dyDescent="0.25">
      <c r="A130" s="2" t="s">
        <v>441</v>
      </c>
    </row>
    <row r="131" spans="1:1" ht="15.75" x14ac:dyDescent="0.25">
      <c r="A131" s="2" t="s">
        <v>442</v>
      </c>
    </row>
    <row r="132" spans="1:1" ht="15.75" x14ac:dyDescent="0.25">
      <c r="A132" s="2" t="s">
        <v>443</v>
      </c>
    </row>
    <row r="133" spans="1:1" ht="15.75" x14ac:dyDescent="0.25">
      <c r="A133" s="2" t="s">
        <v>444</v>
      </c>
    </row>
    <row r="134" spans="1:1" ht="15.75" x14ac:dyDescent="0.25">
      <c r="A134" s="2" t="s">
        <v>445</v>
      </c>
    </row>
    <row r="135" spans="1:1" ht="15.75" x14ac:dyDescent="0.25">
      <c r="A135" s="2" t="s">
        <v>446</v>
      </c>
    </row>
    <row r="136" spans="1:1" ht="15.75" x14ac:dyDescent="0.25">
      <c r="A136" s="2" t="s">
        <v>447</v>
      </c>
    </row>
    <row r="137" spans="1:1" ht="15.75" x14ac:dyDescent="0.25">
      <c r="A137" s="2" t="s">
        <v>448</v>
      </c>
    </row>
    <row r="138" spans="1:1" ht="15.75" x14ac:dyDescent="0.25">
      <c r="A138" s="2" t="s">
        <v>449</v>
      </c>
    </row>
    <row r="139" spans="1:1" ht="15.75" x14ac:dyDescent="0.25">
      <c r="A139" s="2" t="s">
        <v>450</v>
      </c>
    </row>
    <row r="140" spans="1:1" ht="15.75" x14ac:dyDescent="0.25">
      <c r="A140" s="2" t="s">
        <v>451</v>
      </c>
    </row>
    <row r="141" spans="1:1" ht="15.75" x14ac:dyDescent="0.25">
      <c r="A141" s="2" t="s">
        <v>452</v>
      </c>
    </row>
    <row r="142" spans="1:1" ht="15.75" x14ac:dyDescent="0.25">
      <c r="A142" s="2" t="s">
        <v>453</v>
      </c>
    </row>
    <row r="143" spans="1:1" ht="15.75" x14ac:dyDescent="0.25">
      <c r="A143" s="2" t="s">
        <v>454</v>
      </c>
    </row>
    <row r="144" spans="1:1" ht="15.75" x14ac:dyDescent="0.25">
      <c r="A144" s="2" t="s">
        <v>455</v>
      </c>
    </row>
    <row r="145" spans="1:1" ht="15.75" x14ac:dyDescent="0.25">
      <c r="A145" s="2" t="s">
        <v>456</v>
      </c>
    </row>
    <row r="146" spans="1:1" ht="15.75" x14ac:dyDescent="0.25">
      <c r="A146" s="2" t="s">
        <v>457</v>
      </c>
    </row>
    <row r="147" spans="1:1" ht="15.75" x14ac:dyDescent="0.25">
      <c r="A147" s="2" t="s">
        <v>458</v>
      </c>
    </row>
    <row r="148" spans="1:1" ht="15.75" x14ac:dyDescent="0.25">
      <c r="A148" s="2" t="s">
        <v>459</v>
      </c>
    </row>
    <row r="149" spans="1:1" ht="15.75" x14ac:dyDescent="0.25">
      <c r="A149" s="2" t="s">
        <v>460</v>
      </c>
    </row>
    <row r="150" spans="1:1" ht="15.75" x14ac:dyDescent="0.25">
      <c r="A150" s="2" t="s">
        <v>461</v>
      </c>
    </row>
    <row r="151" spans="1:1" ht="15.75" x14ac:dyDescent="0.25">
      <c r="A151" s="2" t="s">
        <v>462</v>
      </c>
    </row>
    <row r="152" spans="1:1" ht="15.75" x14ac:dyDescent="0.25">
      <c r="A152" s="2" t="s">
        <v>463</v>
      </c>
    </row>
    <row r="153" spans="1:1" ht="15.75" x14ac:dyDescent="0.25">
      <c r="A153" s="3" t="s">
        <v>464</v>
      </c>
    </row>
    <row r="154" spans="1:1" ht="15.75" x14ac:dyDescent="0.25">
      <c r="A154" s="2" t="s">
        <v>465</v>
      </c>
    </row>
    <row r="155" spans="1:1" ht="15.75" x14ac:dyDescent="0.25">
      <c r="A155" s="2" t="s">
        <v>466</v>
      </c>
    </row>
    <row r="156" spans="1:1" ht="15.75" x14ac:dyDescent="0.25">
      <c r="A156" s="2" t="s">
        <v>467</v>
      </c>
    </row>
    <row r="157" spans="1:1" ht="15.75" x14ac:dyDescent="0.25">
      <c r="A157" s="3" t="s">
        <v>468</v>
      </c>
    </row>
    <row r="158" spans="1:1" ht="15.75" x14ac:dyDescent="0.25">
      <c r="A158" s="2" t="s">
        <v>469</v>
      </c>
    </row>
    <row r="159" spans="1:1" ht="15.75" x14ac:dyDescent="0.25">
      <c r="A159" s="2" t="s">
        <v>470</v>
      </c>
    </row>
    <row r="160" spans="1:1" ht="15.75" x14ac:dyDescent="0.25">
      <c r="A160" s="2" t="s">
        <v>471</v>
      </c>
    </row>
    <row r="161" spans="1:1" ht="15.75" x14ac:dyDescent="0.25">
      <c r="A161" s="2" t="s">
        <v>472</v>
      </c>
    </row>
    <row r="162" spans="1:1" ht="15.75" x14ac:dyDescent="0.25">
      <c r="A162" s="2" t="s">
        <v>473</v>
      </c>
    </row>
    <row r="163" spans="1:1" ht="15.75" x14ac:dyDescent="0.25">
      <c r="A163" s="2" t="s">
        <v>474</v>
      </c>
    </row>
    <row r="164" spans="1:1" ht="15.75" x14ac:dyDescent="0.25">
      <c r="A164" s="2" t="s">
        <v>447</v>
      </c>
    </row>
    <row r="165" spans="1:1" ht="15.75" x14ac:dyDescent="0.25">
      <c r="A165" s="2" t="s">
        <v>475</v>
      </c>
    </row>
    <row r="166" spans="1:1" ht="15.75" x14ac:dyDescent="0.25">
      <c r="A166" s="2" t="s">
        <v>476</v>
      </c>
    </row>
    <row r="167" spans="1:1" ht="15.75" x14ac:dyDescent="0.25">
      <c r="A167" s="2" t="s">
        <v>477</v>
      </c>
    </row>
    <row r="168" spans="1:1" ht="15.75" x14ac:dyDescent="0.25">
      <c r="A168" s="2" t="s">
        <v>478</v>
      </c>
    </row>
    <row r="169" spans="1:1" ht="15.75" x14ac:dyDescent="0.25">
      <c r="A169" s="2" t="s">
        <v>479</v>
      </c>
    </row>
    <row r="170" spans="1:1" ht="15.75" x14ac:dyDescent="0.25">
      <c r="A170" s="2" t="s">
        <v>480</v>
      </c>
    </row>
    <row r="171" spans="1:1" ht="15.75" x14ac:dyDescent="0.25">
      <c r="A171" s="2" t="s">
        <v>481</v>
      </c>
    </row>
    <row r="172" spans="1:1" ht="15.75" x14ac:dyDescent="0.25">
      <c r="A172" s="2" t="s">
        <v>482</v>
      </c>
    </row>
    <row r="173" spans="1:1" ht="15.75" x14ac:dyDescent="0.25">
      <c r="A173" s="2" t="s">
        <v>483</v>
      </c>
    </row>
    <row r="174" spans="1:1" ht="15.75" x14ac:dyDescent="0.25">
      <c r="A174" s="2" t="s">
        <v>484</v>
      </c>
    </row>
    <row r="175" spans="1:1" ht="15.75" x14ac:dyDescent="0.25">
      <c r="A175" s="2" t="s">
        <v>485</v>
      </c>
    </row>
    <row r="176" spans="1:1" ht="15.75" x14ac:dyDescent="0.25">
      <c r="A176" s="2" t="s">
        <v>486</v>
      </c>
    </row>
    <row r="177" spans="1:1" ht="15.75" x14ac:dyDescent="0.25">
      <c r="A177" s="2" t="s">
        <v>487</v>
      </c>
    </row>
    <row r="178" spans="1:1" ht="15.75" x14ac:dyDescent="0.25">
      <c r="A178" s="2" t="s">
        <v>488</v>
      </c>
    </row>
    <row r="179" spans="1:1" ht="15.75" x14ac:dyDescent="0.25">
      <c r="A179" s="2" t="s">
        <v>489</v>
      </c>
    </row>
    <row r="180" spans="1:1" ht="15.75" x14ac:dyDescent="0.25">
      <c r="A180" s="2" t="s">
        <v>490</v>
      </c>
    </row>
    <row r="181" spans="1:1" ht="15.75" x14ac:dyDescent="0.25">
      <c r="A181" s="2" t="s">
        <v>491</v>
      </c>
    </row>
    <row r="182" spans="1:1" ht="15.75" x14ac:dyDescent="0.25">
      <c r="A182" s="2" t="s">
        <v>492</v>
      </c>
    </row>
    <row r="183" spans="1:1" ht="15.75" x14ac:dyDescent="0.25">
      <c r="A183" s="2" t="s">
        <v>493</v>
      </c>
    </row>
    <row r="184" spans="1:1" ht="15.75" x14ac:dyDescent="0.25">
      <c r="A184" s="2" t="s">
        <v>494</v>
      </c>
    </row>
    <row r="185" spans="1:1" ht="15.75" x14ac:dyDescent="0.25">
      <c r="A185" s="2" t="s">
        <v>495</v>
      </c>
    </row>
    <row r="186" spans="1:1" ht="15.75" x14ac:dyDescent="0.25">
      <c r="A186" s="2" t="s">
        <v>496</v>
      </c>
    </row>
    <row r="187" spans="1:1" ht="15.75" x14ac:dyDescent="0.25">
      <c r="A187" s="2" t="s">
        <v>497</v>
      </c>
    </row>
    <row r="188" spans="1:1" ht="15.75" x14ac:dyDescent="0.25">
      <c r="A188" s="2" t="s">
        <v>498</v>
      </c>
    </row>
    <row r="189" spans="1:1" ht="15.75" x14ac:dyDescent="0.25">
      <c r="A189" s="2" t="s">
        <v>499</v>
      </c>
    </row>
    <row r="190" spans="1:1" ht="15.75" x14ac:dyDescent="0.25">
      <c r="A190" s="2" t="s">
        <v>500</v>
      </c>
    </row>
    <row r="191" spans="1:1" ht="15.75" x14ac:dyDescent="0.25">
      <c r="A191" s="2" t="s">
        <v>501</v>
      </c>
    </row>
    <row r="192" spans="1:1" ht="15.75" x14ac:dyDescent="0.25">
      <c r="A192" s="2" t="s">
        <v>502</v>
      </c>
    </row>
    <row r="193" spans="1:1" ht="15.75" x14ac:dyDescent="0.25">
      <c r="A193" s="2" t="s">
        <v>503</v>
      </c>
    </row>
    <row r="194" spans="1:1" ht="15.75" x14ac:dyDescent="0.25">
      <c r="A194" s="2" t="s">
        <v>504</v>
      </c>
    </row>
    <row r="195" spans="1:1" ht="15.75" x14ac:dyDescent="0.25">
      <c r="A195" s="2" t="s">
        <v>505</v>
      </c>
    </row>
    <row r="196" spans="1:1" ht="15.75" x14ac:dyDescent="0.25">
      <c r="A196" s="2" t="s">
        <v>506</v>
      </c>
    </row>
    <row r="197" spans="1:1" ht="15.75" x14ac:dyDescent="0.25">
      <c r="A197" s="2" t="s">
        <v>507</v>
      </c>
    </row>
    <row r="198" spans="1:1" ht="15.75" x14ac:dyDescent="0.25">
      <c r="A198" s="2" t="s">
        <v>508</v>
      </c>
    </row>
    <row r="199" spans="1:1" ht="15.75" x14ac:dyDescent="0.25">
      <c r="A199" s="2" t="s">
        <v>509</v>
      </c>
    </row>
    <row r="200" spans="1:1" ht="15.75" x14ac:dyDescent="0.25">
      <c r="A200" s="2" t="s">
        <v>510</v>
      </c>
    </row>
    <row r="201" spans="1:1" ht="15.75" x14ac:dyDescent="0.25">
      <c r="A201" s="2" t="s">
        <v>511</v>
      </c>
    </row>
    <row r="202" spans="1:1" ht="15.75" x14ac:dyDescent="0.25">
      <c r="A202" s="2" t="s">
        <v>512</v>
      </c>
    </row>
    <row r="203" spans="1:1" ht="15.75" x14ac:dyDescent="0.25">
      <c r="A203" s="2" t="s">
        <v>513</v>
      </c>
    </row>
    <row r="204" spans="1:1" ht="15.75" x14ac:dyDescent="0.25">
      <c r="A204" s="2" t="s">
        <v>514</v>
      </c>
    </row>
    <row r="205" spans="1:1" ht="15.75" x14ac:dyDescent="0.25">
      <c r="A205" s="2" t="s">
        <v>515</v>
      </c>
    </row>
    <row r="206" spans="1:1" ht="15.75" x14ac:dyDescent="0.25">
      <c r="A206" s="2" t="s">
        <v>516</v>
      </c>
    </row>
    <row r="207" spans="1:1" ht="15.75" x14ac:dyDescent="0.25">
      <c r="A207" s="2" t="s">
        <v>517</v>
      </c>
    </row>
    <row r="208" spans="1:1" ht="15.75" x14ac:dyDescent="0.25">
      <c r="A208" s="2" t="s">
        <v>518</v>
      </c>
    </row>
    <row r="209" spans="1:1" ht="15.75" x14ac:dyDescent="0.25">
      <c r="A209" s="2" t="s">
        <v>519</v>
      </c>
    </row>
    <row r="210" spans="1:1" ht="15.75" x14ac:dyDescent="0.25">
      <c r="A210" s="2" t="s">
        <v>520</v>
      </c>
    </row>
    <row r="211" spans="1:1" ht="15.75" x14ac:dyDescent="0.25">
      <c r="A211" s="2" t="s">
        <v>521</v>
      </c>
    </row>
    <row r="212" spans="1:1" ht="15.75" x14ac:dyDescent="0.25">
      <c r="A212" s="2" t="s">
        <v>522</v>
      </c>
    </row>
    <row r="213" spans="1:1" ht="15.75" x14ac:dyDescent="0.25">
      <c r="A213" s="2" t="s">
        <v>523</v>
      </c>
    </row>
    <row r="214" spans="1:1" ht="15.75" x14ac:dyDescent="0.25">
      <c r="A214" s="2" t="s">
        <v>524</v>
      </c>
    </row>
    <row r="215" spans="1:1" ht="15.75" x14ac:dyDescent="0.25">
      <c r="A215" s="2" t="s">
        <v>525</v>
      </c>
    </row>
    <row r="216" spans="1:1" ht="15.75" x14ac:dyDescent="0.25">
      <c r="A216" s="2" t="s">
        <v>526</v>
      </c>
    </row>
    <row r="217" spans="1:1" ht="15.75" x14ac:dyDescent="0.25">
      <c r="A217" s="2" t="s">
        <v>527</v>
      </c>
    </row>
    <row r="218" spans="1:1" ht="15.75" x14ac:dyDescent="0.25">
      <c r="A218" s="2" t="s">
        <v>528</v>
      </c>
    </row>
    <row r="219" spans="1:1" ht="15.75" x14ac:dyDescent="0.25">
      <c r="A219" s="2" t="s">
        <v>529</v>
      </c>
    </row>
    <row r="220" spans="1:1" ht="15.75" x14ac:dyDescent="0.25">
      <c r="A220" s="2" t="s">
        <v>530</v>
      </c>
    </row>
    <row r="221" spans="1:1" ht="15.75" x14ac:dyDescent="0.25">
      <c r="A221" s="2" t="s">
        <v>531</v>
      </c>
    </row>
    <row r="222" spans="1:1" ht="15.75" x14ac:dyDescent="0.25">
      <c r="A222" s="2" t="s">
        <v>532</v>
      </c>
    </row>
    <row r="223" spans="1:1" ht="15.75" x14ac:dyDescent="0.25">
      <c r="A223" s="2" t="s">
        <v>533</v>
      </c>
    </row>
    <row r="224" spans="1:1" ht="15.75" x14ac:dyDescent="0.25">
      <c r="A224" s="2" t="s">
        <v>534</v>
      </c>
    </row>
    <row r="225" spans="1:1" ht="15.75" x14ac:dyDescent="0.25">
      <c r="A225" s="2" t="s">
        <v>535</v>
      </c>
    </row>
    <row r="226" spans="1:1" ht="15.75" x14ac:dyDescent="0.25">
      <c r="A226" s="3" t="s">
        <v>536</v>
      </c>
    </row>
    <row r="227" spans="1:1" ht="15.75" x14ac:dyDescent="0.25">
      <c r="A227" s="2" t="s">
        <v>537</v>
      </c>
    </row>
    <row r="228" spans="1:1" ht="15.75" x14ac:dyDescent="0.25">
      <c r="A228" s="2" t="s">
        <v>538</v>
      </c>
    </row>
    <row r="229" spans="1:1" ht="15.75" x14ac:dyDescent="0.25">
      <c r="A229" s="2" t="s">
        <v>371</v>
      </c>
    </row>
    <row r="230" spans="1:1" ht="15.75" x14ac:dyDescent="0.25">
      <c r="A230" s="2" t="s">
        <v>539</v>
      </c>
    </row>
    <row r="231" spans="1:1" ht="15.75" x14ac:dyDescent="0.25">
      <c r="A231" s="2" t="s">
        <v>540</v>
      </c>
    </row>
    <row r="232" spans="1:1" ht="15.75" x14ac:dyDescent="0.25">
      <c r="A232" s="2" t="s">
        <v>541</v>
      </c>
    </row>
    <row r="233" spans="1:1" ht="15.75" x14ac:dyDescent="0.25">
      <c r="A233" s="2" t="s">
        <v>542</v>
      </c>
    </row>
    <row r="234" spans="1:1" ht="15.75" x14ac:dyDescent="0.25">
      <c r="A234" s="2" t="s">
        <v>543</v>
      </c>
    </row>
    <row r="235" spans="1:1" ht="15.75" x14ac:dyDescent="0.25">
      <c r="A235" s="2" t="s">
        <v>544</v>
      </c>
    </row>
    <row r="236" spans="1:1" ht="15.75" x14ac:dyDescent="0.25">
      <c r="A236" s="2" t="s">
        <v>545</v>
      </c>
    </row>
    <row r="237" spans="1:1" ht="15.75" x14ac:dyDescent="0.25">
      <c r="A237" s="2" t="s">
        <v>546</v>
      </c>
    </row>
    <row r="238" spans="1:1" ht="15.75" x14ac:dyDescent="0.25">
      <c r="A238" s="2" t="s">
        <v>547</v>
      </c>
    </row>
    <row r="239" spans="1:1" ht="15.75" x14ac:dyDescent="0.25">
      <c r="A239" s="2" t="s">
        <v>548</v>
      </c>
    </row>
    <row r="240" spans="1:1" ht="15.75" x14ac:dyDescent="0.25">
      <c r="A240" s="2" t="s">
        <v>549</v>
      </c>
    </row>
    <row r="241" spans="1:1" ht="15.75" x14ac:dyDescent="0.25">
      <c r="A241" s="2" t="s">
        <v>550</v>
      </c>
    </row>
    <row r="242" spans="1:1" ht="15.75" x14ac:dyDescent="0.25">
      <c r="A242" s="2" t="s">
        <v>551</v>
      </c>
    </row>
    <row r="243" spans="1:1" ht="15.75" x14ac:dyDescent="0.25">
      <c r="A243" s="2" t="s">
        <v>552</v>
      </c>
    </row>
    <row r="244" spans="1:1" ht="15.75" x14ac:dyDescent="0.25">
      <c r="A244" s="2" t="s">
        <v>553</v>
      </c>
    </row>
    <row r="245" spans="1:1" ht="15.75" x14ac:dyDescent="0.25">
      <c r="A245" s="2" t="s">
        <v>554</v>
      </c>
    </row>
    <row r="246" spans="1:1" ht="15.75" x14ac:dyDescent="0.25">
      <c r="A246" s="2" t="s">
        <v>555</v>
      </c>
    </row>
    <row r="247" spans="1:1" ht="15.75" x14ac:dyDescent="0.25">
      <c r="A247" s="2" t="s">
        <v>556</v>
      </c>
    </row>
    <row r="248" spans="1:1" ht="15.75" x14ac:dyDescent="0.25">
      <c r="A248" s="2" t="s">
        <v>557</v>
      </c>
    </row>
    <row r="249" spans="1:1" ht="15.75" x14ac:dyDescent="0.25">
      <c r="A249" s="2" t="s">
        <v>558</v>
      </c>
    </row>
    <row r="250" spans="1:1" ht="15.75" x14ac:dyDescent="0.25">
      <c r="A250" s="2" t="s">
        <v>559</v>
      </c>
    </row>
    <row r="251" spans="1:1" ht="15.75" x14ac:dyDescent="0.25">
      <c r="A251" s="2" t="s">
        <v>560</v>
      </c>
    </row>
    <row r="252" spans="1:1" ht="15.75" x14ac:dyDescent="0.25">
      <c r="A252" s="2" t="s">
        <v>561</v>
      </c>
    </row>
    <row r="253" spans="1:1" ht="15.75" x14ac:dyDescent="0.25">
      <c r="A253" s="2" t="s">
        <v>562</v>
      </c>
    </row>
    <row r="254" spans="1:1" ht="15.75" x14ac:dyDescent="0.25">
      <c r="A254" s="2" t="s">
        <v>563</v>
      </c>
    </row>
    <row r="255" spans="1:1" ht="15.75" x14ac:dyDescent="0.25">
      <c r="A255" s="2" t="s">
        <v>564</v>
      </c>
    </row>
    <row r="256" spans="1:1" ht="15.75" x14ac:dyDescent="0.25">
      <c r="A256" s="2" t="s">
        <v>565</v>
      </c>
    </row>
    <row r="257" spans="1:1" ht="15.75" x14ac:dyDescent="0.25">
      <c r="A257" s="2" t="s">
        <v>566</v>
      </c>
    </row>
    <row r="258" spans="1:1" ht="15.75" x14ac:dyDescent="0.25">
      <c r="A258" s="3" t="s">
        <v>567</v>
      </c>
    </row>
    <row r="259" spans="1:1" ht="15.75" x14ac:dyDescent="0.25">
      <c r="A259" s="2" t="s">
        <v>568</v>
      </c>
    </row>
    <row r="260" spans="1:1" ht="15.75" x14ac:dyDescent="0.25">
      <c r="A260" s="2" t="s">
        <v>569</v>
      </c>
    </row>
    <row r="261" spans="1:1" ht="15.75" x14ac:dyDescent="0.25">
      <c r="A261" s="2" t="s">
        <v>570</v>
      </c>
    </row>
    <row r="262" spans="1:1" ht="15.75" x14ac:dyDescent="0.25">
      <c r="A262" s="2" t="s">
        <v>571</v>
      </c>
    </row>
    <row r="263" spans="1:1" ht="15.75" x14ac:dyDescent="0.25">
      <c r="A263" s="2" t="s">
        <v>572</v>
      </c>
    </row>
    <row r="264" spans="1:1" ht="15.75" x14ac:dyDescent="0.25">
      <c r="A264" s="2" t="s">
        <v>573</v>
      </c>
    </row>
    <row r="265" spans="1:1" ht="15.75" x14ac:dyDescent="0.25">
      <c r="A265" s="2" t="s">
        <v>574</v>
      </c>
    </row>
    <row r="266" spans="1:1" ht="15.75" x14ac:dyDescent="0.25">
      <c r="A266" s="2" t="s">
        <v>575</v>
      </c>
    </row>
    <row r="267" spans="1:1" ht="15.75" x14ac:dyDescent="0.25">
      <c r="A267" s="2" t="s">
        <v>576</v>
      </c>
    </row>
    <row r="268" spans="1:1" ht="15.75" x14ac:dyDescent="0.25">
      <c r="A268" s="2" t="s">
        <v>577</v>
      </c>
    </row>
    <row r="269" spans="1:1" ht="15.75" x14ac:dyDescent="0.25">
      <c r="A269" s="2" t="s">
        <v>578</v>
      </c>
    </row>
    <row r="270" spans="1:1" ht="15.75" x14ac:dyDescent="0.25">
      <c r="A270" s="3" t="s">
        <v>579</v>
      </c>
    </row>
    <row r="271" spans="1:1" ht="15.75" x14ac:dyDescent="0.25">
      <c r="A271" s="2" t="s">
        <v>580</v>
      </c>
    </row>
    <row r="272" spans="1:1" ht="15.75" x14ac:dyDescent="0.25">
      <c r="A272" s="2" t="s">
        <v>581</v>
      </c>
    </row>
    <row r="273" spans="1:1" ht="15.75" x14ac:dyDescent="0.25">
      <c r="A273" s="3" t="s">
        <v>582</v>
      </c>
    </row>
    <row r="274" spans="1:1" ht="15.75" x14ac:dyDescent="0.25">
      <c r="A274" s="2" t="s">
        <v>583</v>
      </c>
    </row>
    <row r="275" spans="1:1" ht="15.75" x14ac:dyDescent="0.25">
      <c r="A275" s="3" t="s">
        <v>584</v>
      </c>
    </row>
    <row r="276" spans="1:1" ht="15.75" x14ac:dyDescent="0.25">
      <c r="A276" s="2" t="s">
        <v>585</v>
      </c>
    </row>
    <row r="277" spans="1:1" ht="15.75" x14ac:dyDescent="0.25">
      <c r="A277" s="2" t="s">
        <v>586</v>
      </c>
    </row>
    <row r="278" spans="1:1" ht="15.75" x14ac:dyDescent="0.25">
      <c r="A278" s="2" t="s">
        <v>587</v>
      </c>
    </row>
    <row r="279" spans="1:1" ht="15.75" x14ac:dyDescent="0.25">
      <c r="A279" s="2" t="s">
        <v>588</v>
      </c>
    </row>
    <row r="280" spans="1:1" ht="15.75" x14ac:dyDescent="0.25">
      <c r="A280" s="2" t="s">
        <v>589</v>
      </c>
    </row>
    <row r="281" spans="1:1" ht="15.75" x14ac:dyDescent="0.25">
      <c r="A281" s="2" t="s">
        <v>590</v>
      </c>
    </row>
    <row r="282" spans="1:1" ht="15.75" x14ac:dyDescent="0.25">
      <c r="A282" s="2" t="s">
        <v>591</v>
      </c>
    </row>
    <row r="283" spans="1:1" ht="15.75" x14ac:dyDescent="0.25">
      <c r="A283" s="2" t="s">
        <v>592</v>
      </c>
    </row>
    <row r="284" spans="1:1" ht="15.75" x14ac:dyDescent="0.25">
      <c r="A284" s="2" t="s">
        <v>593</v>
      </c>
    </row>
    <row r="285" spans="1:1" ht="15.75" x14ac:dyDescent="0.25">
      <c r="A285" s="2" t="s">
        <v>594</v>
      </c>
    </row>
    <row r="286" spans="1:1" ht="15.75" x14ac:dyDescent="0.25">
      <c r="A286" s="2" t="s">
        <v>595</v>
      </c>
    </row>
    <row r="287" spans="1:1" ht="15.75" x14ac:dyDescent="0.25">
      <c r="A287" s="2" t="s">
        <v>596</v>
      </c>
    </row>
    <row r="288" spans="1:1" ht="15.75" x14ac:dyDescent="0.25">
      <c r="A288" s="2" t="s">
        <v>597</v>
      </c>
    </row>
    <row r="289" spans="1:1" ht="15.75" x14ac:dyDescent="0.25">
      <c r="A289" s="2" t="s">
        <v>598</v>
      </c>
    </row>
    <row r="290" spans="1:1" ht="15.75" x14ac:dyDescent="0.25">
      <c r="A290" s="2" t="s">
        <v>599</v>
      </c>
    </row>
    <row r="291" spans="1:1" ht="15.75" x14ac:dyDescent="0.25">
      <c r="A291" s="2" t="s">
        <v>600</v>
      </c>
    </row>
    <row r="292" spans="1:1" ht="15.75" x14ac:dyDescent="0.25">
      <c r="A292" s="2" t="s">
        <v>601</v>
      </c>
    </row>
    <row r="293" spans="1:1" ht="15.75" x14ac:dyDescent="0.25">
      <c r="A293" s="2" t="s">
        <v>602</v>
      </c>
    </row>
    <row r="294" spans="1:1" ht="15.75" x14ac:dyDescent="0.25">
      <c r="A294" s="2" t="s">
        <v>603</v>
      </c>
    </row>
    <row r="295" spans="1:1" ht="15.75" x14ac:dyDescent="0.25">
      <c r="A295" s="2" t="s">
        <v>604</v>
      </c>
    </row>
    <row r="296" spans="1:1" ht="15.75" x14ac:dyDescent="0.25">
      <c r="A296" s="2" t="s">
        <v>605</v>
      </c>
    </row>
    <row r="297" spans="1:1" ht="15.75" x14ac:dyDescent="0.25">
      <c r="A297" s="2" t="s">
        <v>606</v>
      </c>
    </row>
    <row r="298" spans="1:1" ht="15.75" x14ac:dyDescent="0.25">
      <c r="A298" s="3" t="s">
        <v>607</v>
      </c>
    </row>
    <row r="299" spans="1:1" ht="15.75" x14ac:dyDescent="0.25">
      <c r="A299" s="2" t="s">
        <v>608</v>
      </c>
    </row>
    <row r="300" spans="1:1" ht="15.75" x14ac:dyDescent="0.25">
      <c r="A300" s="2" t="s">
        <v>609</v>
      </c>
    </row>
    <row r="301" spans="1:1" ht="15.75" x14ac:dyDescent="0.25">
      <c r="A301" s="2" t="s">
        <v>610</v>
      </c>
    </row>
    <row r="302" spans="1:1" ht="15.75" x14ac:dyDescent="0.25">
      <c r="A302" s="2" t="s">
        <v>611</v>
      </c>
    </row>
    <row r="303" spans="1:1" ht="15.75" x14ac:dyDescent="0.25">
      <c r="A303" s="2" t="s">
        <v>612</v>
      </c>
    </row>
    <row r="304" spans="1:1" ht="15.75" x14ac:dyDescent="0.25">
      <c r="A304" s="2" t="s">
        <v>613</v>
      </c>
    </row>
    <row r="305" spans="1:1" ht="15.75" x14ac:dyDescent="0.25">
      <c r="A305" s="2" t="s">
        <v>614</v>
      </c>
    </row>
    <row r="306" spans="1:1" ht="15.75" x14ac:dyDescent="0.25">
      <c r="A306" s="2" t="s">
        <v>615</v>
      </c>
    </row>
    <row r="307" spans="1:1" ht="15.75" x14ac:dyDescent="0.25">
      <c r="A307" s="2" t="s">
        <v>616</v>
      </c>
    </row>
    <row r="308" spans="1:1" ht="15.75" x14ac:dyDescent="0.25">
      <c r="A308" s="2" t="s">
        <v>617</v>
      </c>
    </row>
    <row r="309" spans="1:1" ht="15.75" x14ac:dyDescent="0.25">
      <c r="A309" s="2" t="s">
        <v>618</v>
      </c>
    </row>
    <row r="310" spans="1:1" ht="15.75" x14ac:dyDescent="0.25">
      <c r="A310" s="2" t="s">
        <v>619</v>
      </c>
    </row>
    <row r="311" spans="1:1" ht="15.75" x14ac:dyDescent="0.25">
      <c r="A311" s="3" t="s">
        <v>620</v>
      </c>
    </row>
    <row r="312" spans="1:1" ht="15.75" x14ac:dyDescent="0.25">
      <c r="A312" s="2" t="s">
        <v>621</v>
      </c>
    </row>
    <row r="313" spans="1:1" ht="15.75" x14ac:dyDescent="0.25">
      <c r="A313" s="2" t="s">
        <v>622</v>
      </c>
    </row>
    <row r="314" spans="1:1" ht="15.75" x14ac:dyDescent="0.25">
      <c r="A314" s="2" t="s">
        <v>623</v>
      </c>
    </row>
    <row r="315" spans="1:1" ht="15.75" x14ac:dyDescent="0.25">
      <c r="A315" s="2" t="s">
        <v>624</v>
      </c>
    </row>
    <row r="316" spans="1:1" ht="15.75" x14ac:dyDescent="0.25">
      <c r="A316" s="2" t="s">
        <v>625</v>
      </c>
    </row>
    <row r="317" spans="1:1" ht="15.75" x14ac:dyDescent="0.25">
      <c r="A317" s="2" t="s">
        <v>626</v>
      </c>
    </row>
    <row r="318" spans="1:1" ht="15.75" x14ac:dyDescent="0.25">
      <c r="A318" s="2" t="s">
        <v>627</v>
      </c>
    </row>
    <row r="319" spans="1:1" ht="15.75" x14ac:dyDescent="0.25">
      <c r="A319" s="2" t="s">
        <v>628</v>
      </c>
    </row>
    <row r="320" spans="1:1" ht="15.75" x14ac:dyDescent="0.25">
      <c r="A320" s="2" t="s">
        <v>629</v>
      </c>
    </row>
    <row r="321" spans="1:1" ht="15.75" x14ac:dyDescent="0.25">
      <c r="A321" s="2" t="s">
        <v>630</v>
      </c>
    </row>
    <row r="322" spans="1:1" ht="15.75" x14ac:dyDescent="0.25">
      <c r="A322" s="2" t="s">
        <v>631</v>
      </c>
    </row>
    <row r="323" spans="1:1" ht="15.75" x14ac:dyDescent="0.25">
      <c r="A323" s="2" t="s">
        <v>632</v>
      </c>
    </row>
    <row r="324" spans="1:1" ht="15.75" x14ac:dyDescent="0.25">
      <c r="A324" s="2" t="s">
        <v>633</v>
      </c>
    </row>
    <row r="325" spans="1:1" ht="15.75" x14ac:dyDescent="0.25">
      <c r="A325" s="2" t="s">
        <v>634</v>
      </c>
    </row>
    <row r="326" spans="1:1" ht="15.75" x14ac:dyDescent="0.25">
      <c r="A326" s="2" t="s">
        <v>635</v>
      </c>
    </row>
    <row r="327" spans="1:1" ht="15.75" x14ac:dyDescent="0.25">
      <c r="A327" s="2" t="s">
        <v>636</v>
      </c>
    </row>
    <row r="328" spans="1:1" ht="15.75" x14ac:dyDescent="0.25">
      <c r="A328" s="2" t="s">
        <v>637</v>
      </c>
    </row>
    <row r="329" spans="1:1" ht="15.75" x14ac:dyDescent="0.25">
      <c r="A329" s="2" t="s">
        <v>638</v>
      </c>
    </row>
    <row r="330" spans="1:1" ht="15.75" x14ac:dyDescent="0.25">
      <c r="A330" s="2" t="s">
        <v>639</v>
      </c>
    </row>
    <row r="331" spans="1:1" ht="15.75" x14ac:dyDescent="0.25">
      <c r="A331" s="2" t="s">
        <v>640</v>
      </c>
    </row>
    <row r="332" spans="1:1" ht="15.75" x14ac:dyDescent="0.25">
      <c r="A332" s="2" t="s">
        <v>641</v>
      </c>
    </row>
    <row r="333" spans="1:1" ht="15.75" x14ac:dyDescent="0.25">
      <c r="A333" s="2" t="s">
        <v>642</v>
      </c>
    </row>
    <row r="334" spans="1:1" ht="15.75" x14ac:dyDescent="0.25">
      <c r="A334" s="2" t="s">
        <v>643</v>
      </c>
    </row>
    <row r="335" spans="1:1" ht="15.75" x14ac:dyDescent="0.25">
      <c r="A335" s="2" t="s">
        <v>644</v>
      </c>
    </row>
    <row r="336" spans="1:1" ht="15.75" x14ac:dyDescent="0.25">
      <c r="A336" s="2" t="s">
        <v>645</v>
      </c>
    </row>
    <row r="337" spans="1:1" ht="15.75" x14ac:dyDescent="0.25">
      <c r="A337" s="2" t="s">
        <v>646</v>
      </c>
    </row>
    <row r="338" spans="1:1" ht="15.75" x14ac:dyDescent="0.25">
      <c r="A338" s="2" t="s">
        <v>647</v>
      </c>
    </row>
    <row r="339" spans="1:1" ht="15.75" x14ac:dyDescent="0.25">
      <c r="A339" s="2" t="s">
        <v>648</v>
      </c>
    </row>
    <row r="340" spans="1:1" ht="15.75" x14ac:dyDescent="0.25">
      <c r="A340" s="2" t="s">
        <v>649</v>
      </c>
    </row>
    <row r="341" spans="1:1" ht="15.75" x14ac:dyDescent="0.25">
      <c r="A341" s="2" t="s">
        <v>650</v>
      </c>
    </row>
    <row r="342" spans="1:1" ht="15.75" x14ac:dyDescent="0.25">
      <c r="A342" s="2" t="s">
        <v>651</v>
      </c>
    </row>
    <row r="343" spans="1:1" ht="15.75" x14ac:dyDescent="0.25">
      <c r="A343" s="2" t="s">
        <v>652</v>
      </c>
    </row>
    <row r="344" spans="1:1" ht="15.75" x14ac:dyDescent="0.25">
      <c r="A344" s="2" t="s">
        <v>653</v>
      </c>
    </row>
    <row r="345" spans="1:1" ht="15.75" x14ac:dyDescent="0.25">
      <c r="A345" s="2" t="s">
        <v>654</v>
      </c>
    </row>
    <row r="346" spans="1:1" ht="15.75" x14ac:dyDescent="0.25">
      <c r="A346" s="2" t="s">
        <v>655</v>
      </c>
    </row>
    <row r="347" spans="1:1" ht="15.75" x14ac:dyDescent="0.25">
      <c r="A347" s="2" t="s">
        <v>656</v>
      </c>
    </row>
    <row r="348" spans="1:1" ht="15.75" x14ac:dyDescent="0.25">
      <c r="A348" s="2" t="s">
        <v>657</v>
      </c>
    </row>
    <row r="349" spans="1:1" ht="15.75" x14ac:dyDescent="0.25">
      <c r="A349" s="2" t="s">
        <v>658</v>
      </c>
    </row>
    <row r="350" spans="1:1" ht="15.75" x14ac:dyDescent="0.25">
      <c r="A350" s="2" t="s">
        <v>659</v>
      </c>
    </row>
    <row r="351" spans="1:1" ht="15.75" x14ac:dyDescent="0.25">
      <c r="A351" s="2" t="s">
        <v>660</v>
      </c>
    </row>
    <row r="352" spans="1:1" ht="15.75" x14ac:dyDescent="0.25">
      <c r="A352" s="2" t="s">
        <v>661</v>
      </c>
    </row>
    <row r="353" spans="1:1" ht="15.75" x14ac:dyDescent="0.25">
      <c r="A353" s="2" t="s">
        <v>662</v>
      </c>
    </row>
    <row r="354" spans="1:1" ht="15.75" x14ac:dyDescent="0.25">
      <c r="A354" s="2" t="s">
        <v>663</v>
      </c>
    </row>
    <row r="355" spans="1:1" ht="15.75" x14ac:dyDescent="0.25">
      <c r="A355" s="2" t="s">
        <v>664</v>
      </c>
    </row>
    <row r="356" spans="1:1" ht="15.75" x14ac:dyDescent="0.25">
      <c r="A356" s="2" t="s">
        <v>665</v>
      </c>
    </row>
    <row r="357" spans="1:1" ht="15.75" x14ac:dyDescent="0.25">
      <c r="A357" s="2" t="s">
        <v>666</v>
      </c>
    </row>
    <row r="358" spans="1:1" ht="15.75" x14ac:dyDescent="0.25">
      <c r="A358" s="2" t="s">
        <v>667</v>
      </c>
    </row>
    <row r="359" spans="1:1" ht="15.75" x14ac:dyDescent="0.25">
      <c r="A359" s="2" t="s">
        <v>668</v>
      </c>
    </row>
    <row r="360" spans="1:1" ht="15.75" x14ac:dyDescent="0.25">
      <c r="A360" s="2" t="s">
        <v>669</v>
      </c>
    </row>
    <row r="361" spans="1:1" ht="15.75" x14ac:dyDescent="0.25">
      <c r="A361" s="2" t="s">
        <v>670</v>
      </c>
    </row>
    <row r="362" spans="1:1" ht="15.75" x14ac:dyDescent="0.25">
      <c r="A362" s="2" t="s">
        <v>671</v>
      </c>
    </row>
    <row r="363" spans="1:1" ht="15.75" x14ac:dyDescent="0.25">
      <c r="A363" s="2" t="s">
        <v>672</v>
      </c>
    </row>
    <row r="364" spans="1:1" ht="15.75" x14ac:dyDescent="0.25">
      <c r="A364" s="2" t="s">
        <v>673</v>
      </c>
    </row>
    <row r="365" spans="1:1" ht="15.75" x14ac:dyDescent="0.25">
      <c r="A365" s="2" t="s">
        <v>674</v>
      </c>
    </row>
    <row r="366" spans="1:1" ht="15.75" x14ac:dyDescent="0.25">
      <c r="A366" s="2" t="s">
        <v>675</v>
      </c>
    </row>
    <row r="367" spans="1:1" ht="15.75" x14ac:dyDescent="0.25">
      <c r="A367" s="2" t="s">
        <v>676</v>
      </c>
    </row>
    <row r="368" spans="1:1" ht="15.75" x14ac:dyDescent="0.25">
      <c r="A368" s="2" t="s">
        <v>677</v>
      </c>
    </row>
    <row r="369" spans="1:1" ht="15.75" x14ac:dyDescent="0.25">
      <c r="A369" s="2" t="s">
        <v>678</v>
      </c>
    </row>
    <row r="370" spans="1:1" ht="15.75" x14ac:dyDescent="0.25">
      <c r="A370" s="2" t="s">
        <v>679</v>
      </c>
    </row>
    <row r="371" spans="1:1" ht="15.75" x14ac:dyDescent="0.25">
      <c r="A371" s="2" t="s">
        <v>680</v>
      </c>
    </row>
    <row r="372" spans="1:1" ht="15.75" x14ac:dyDescent="0.25">
      <c r="A372" s="2" t="s">
        <v>681</v>
      </c>
    </row>
    <row r="373" spans="1:1" ht="15.75" x14ac:dyDescent="0.25">
      <c r="A373" s="2" t="s">
        <v>682</v>
      </c>
    </row>
    <row r="374" spans="1:1" ht="15.75" x14ac:dyDescent="0.25">
      <c r="A374" s="2" t="s">
        <v>683</v>
      </c>
    </row>
    <row r="375" spans="1:1" ht="15.75" x14ac:dyDescent="0.25">
      <c r="A375" s="2" t="s">
        <v>684</v>
      </c>
    </row>
    <row r="376" spans="1:1" ht="15.75" x14ac:dyDescent="0.25">
      <c r="A376" s="2" t="s">
        <v>685</v>
      </c>
    </row>
    <row r="377" spans="1:1" ht="15.75" x14ac:dyDescent="0.25">
      <c r="A377" s="2" t="s">
        <v>686</v>
      </c>
    </row>
    <row r="378" spans="1:1" ht="15.75" x14ac:dyDescent="0.25">
      <c r="A378" s="2" t="s">
        <v>687</v>
      </c>
    </row>
    <row r="379" spans="1:1" ht="15.75" x14ac:dyDescent="0.25">
      <c r="A379" s="2" t="s">
        <v>688</v>
      </c>
    </row>
    <row r="380" spans="1:1" ht="15.75" x14ac:dyDescent="0.25">
      <c r="A380" s="2" t="s">
        <v>689</v>
      </c>
    </row>
    <row r="381" spans="1:1" ht="15.75" x14ac:dyDescent="0.25">
      <c r="A381" s="3" t="s">
        <v>690</v>
      </c>
    </row>
    <row r="382" spans="1:1" ht="15.75" x14ac:dyDescent="0.25">
      <c r="A382" s="2" t="s">
        <v>691</v>
      </c>
    </row>
    <row r="383" spans="1:1" ht="15.75" x14ac:dyDescent="0.25">
      <c r="A383" s="2" t="s">
        <v>692</v>
      </c>
    </row>
    <row r="384" spans="1:1" ht="15.75" x14ac:dyDescent="0.25">
      <c r="A384" s="2" t="s">
        <v>693</v>
      </c>
    </row>
    <row r="385" spans="1:1" ht="15.75" x14ac:dyDescent="0.25">
      <c r="A385" s="2" t="s">
        <v>694</v>
      </c>
    </row>
    <row r="386" spans="1:1" ht="15.75" x14ac:dyDescent="0.25">
      <c r="A386" s="2" t="s">
        <v>695</v>
      </c>
    </row>
    <row r="387" spans="1:1" ht="15.75" x14ac:dyDescent="0.25">
      <c r="A387" s="2" t="s">
        <v>696</v>
      </c>
    </row>
    <row r="388" spans="1:1" ht="15.75" x14ac:dyDescent="0.25">
      <c r="A388" s="2" t="s">
        <v>697</v>
      </c>
    </row>
    <row r="389" spans="1:1" ht="15.75" x14ac:dyDescent="0.25">
      <c r="A389" s="2" t="s">
        <v>698</v>
      </c>
    </row>
    <row r="390" spans="1:1" ht="15.75" x14ac:dyDescent="0.25">
      <c r="A390" s="2" t="s">
        <v>699</v>
      </c>
    </row>
    <row r="391" spans="1:1" ht="15.75" x14ac:dyDescent="0.25">
      <c r="A391" s="2" t="s">
        <v>700</v>
      </c>
    </row>
    <row r="392" spans="1:1" ht="15.75" x14ac:dyDescent="0.25">
      <c r="A392" s="2" t="s">
        <v>701</v>
      </c>
    </row>
    <row r="393" spans="1:1" ht="15.75" x14ac:dyDescent="0.25">
      <c r="A393" s="2" t="s">
        <v>702</v>
      </c>
    </row>
    <row r="394" spans="1:1" ht="15.75" x14ac:dyDescent="0.25">
      <c r="A394" s="2" t="s">
        <v>703</v>
      </c>
    </row>
    <row r="395" spans="1:1" ht="15.75" x14ac:dyDescent="0.25">
      <c r="A395" s="2" t="s">
        <v>704</v>
      </c>
    </row>
    <row r="396" spans="1:1" ht="15.75" x14ac:dyDescent="0.25">
      <c r="A396" s="2" t="s">
        <v>705</v>
      </c>
    </row>
    <row r="397" spans="1:1" ht="15.75" x14ac:dyDescent="0.25">
      <c r="A397" s="2" t="s">
        <v>706</v>
      </c>
    </row>
    <row r="398" spans="1:1" ht="15.75" x14ac:dyDescent="0.25">
      <c r="A398" s="2" t="s">
        <v>707</v>
      </c>
    </row>
    <row r="399" spans="1:1" ht="15.75" x14ac:dyDescent="0.25">
      <c r="A399" s="2" t="s">
        <v>708</v>
      </c>
    </row>
    <row r="400" spans="1:1" ht="15.75" x14ac:dyDescent="0.25">
      <c r="A400" s="2" t="s">
        <v>709</v>
      </c>
    </row>
    <row r="401" spans="1:1" ht="15.75" x14ac:dyDescent="0.25">
      <c r="A401" s="2" t="s">
        <v>710</v>
      </c>
    </row>
    <row r="402" spans="1:1" ht="15.75" x14ac:dyDescent="0.25">
      <c r="A402" s="2" t="s">
        <v>711</v>
      </c>
    </row>
    <row r="403" spans="1:1" ht="15.75" x14ac:dyDescent="0.25">
      <c r="A403" s="2" t="s">
        <v>712</v>
      </c>
    </row>
    <row r="404" spans="1:1" ht="15.75" x14ac:dyDescent="0.25">
      <c r="A404" s="2" t="s">
        <v>713</v>
      </c>
    </row>
    <row r="405" spans="1:1" ht="15.75" x14ac:dyDescent="0.25">
      <c r="A405" s="2" t="s">
        <v>714</v>
      </c>
    </row>
    <row r="406" spans="1:1" ht="15.75" x14ac:dyDescent="0.25">
      <c r="A406" s="2" t="s">
        <v>715</v>
      </c>
    </row>
    <row r="407" spans="1:1" ht="15.75" x14ac:dyDescent="0.25">
      <c r="A407" s="2" t="s">
        <v>716</v>
      </c>
    </row>
    <row r="408" spans="1:1" ht="15.75" x14ac:dyDescent="0.25">
      <c r="A408" s="2" t="s">
        <v>717</v>
      </c>
    </row>
    <row r="409" spans="1:1" ht="15.75" x14ac:dyDescent="0.25">
      <c r="A409" s="2" t="s">
        <v>718</v>
      </c>
    </row>
    <row r="410" spans="1:1" ht="15.75" x14ac:dyDescent="0.25">
      <c r="A410" s="2" t="s">
        <v>719</v>
      </c>
    </row>
    <row r="411" spans="1:1" ht="15.75" x14ac:dyDescent="0.25">
      <c r="A411" s="2" t="s">
        <v>720</v>
      </c>
    </row>
    <row r="412" spans="1:1" ht="15.75" x14ac:dyDescent="0.25">
      <c r="A412" s="2" t="s">
        <v>721</v>
      </c>
    </row>
    <row r="413" spans="1:1" ht="15.75" x14ac:dyDescent="0.25">
      <c r="A413" s="3" t="s">
        <v>722</v>
      </c>
    </row>
    <row r="414" spans="1:1" ht="15.75" x14ac:dyDescent="0.25">
      <c r="A414" s="2" t="s">
        <v>723</v>
      </c>
    </row>
    <row r="415" spans="1:1" ht="15.75" x14ac:dyDescent="0.25">
      <c r="A415" s="2" t="s">
        <v>724</v>
      </c>
    </row>
    <row r="416" spans="1:1" ht="15.75" x14ac:dyDescent="0.25">
      <c r="A416" s="2" t="s">
        <v>725</v>
      </c>
    </row>
    <row r="417" spans="1:1" ht="15.75" x14ac:dyDescent="0.25">
      <c r="A417" s="2" t="s">
        <v>726</v>
      </c>
    </row>
    <row r="418" spans="1:1" ht="15.75" x14ac:dyDescent="0.25">
      <c r="A418" s="2" t="s">
        <v>727</v>
      </c>
    </row>
    <row r="419" spans="1:1" ht="15.75" x14ac:dyDescent="0.25">
      <c r="A419" s="2" t="s">
        <v>728</v>
      </c>
    </row>
    <row r="420" spans="1:1" ht="15.75" x14ac:dyDescent="0.25">
      <c r="A420" s="2" t="s">
        <v>729</v>
      </c>
    </row>
    <row r="421" spans="1:1" ht="15.75" x14ac:dyDescent="0.25">
      <c r="A421" s="2" t="s">
        <v>730</v>
      </c>
    </row>
    <row r="422" spans="1:1" ht="15.75" x14ac:dyDescent="0.25">
      <c r="A422" s="2" t="s">
        <v>731</v>
      </c>
    </row>
    <row r="423" spans="1:1" ht="15.75" x14ac:dyDescent="0.25">
      <c r="A423" s="2" t="s">
        <v>732</v>
      </c>
    </row>
    <row r="424" spans="1:1" ht="15.75" x14ac:dyDescent="0.25">
      <c r="A424" s="3" t="s">
        <v>733</v>
      </c>
    </row>
    <row r="425" spans="1:1" ht="15.75" x14ac:dyDescent="0.25">
      <c r="A425" s="2" t="s">
        <v>734</v>
      </c>
    </row>
    <row r="426" spans="1:1" ht="15.75" x14ac:dyDescent="0.25">
      <c r="A426" s="2" t="s">
        <v>735</v>
      </c>
    </row>
    <row r="427" spans="1:1" ht="15.75" x14ac:dyDescent="0.25">
      <c r="A427" s="2" t="s">
        <v>736</v>
      </c>
    </row>
    <row r="428" spans="1:1" ht="15.75" x14ac:dyDescent="0.25">
      <c r="A428" s="2" t="s">
        <v>737</v>
      </c>
    </row>
    <row r="429" spans="1:1" ht="15.75" x14ac:dyDescent="0.25">
      <c r="A429" s="2" t="s">
        <v>738</v>
      </c>
    </row>
    <row r="430" spans="1:1" ht="15.75" x14ac:dyDescent="0.25">
      <c r="A430" s="2" t="s">
        <v>739</v>
      </c>
    </row>
    <row r="431" spans="1:1" ht="15.75" x14ac:dyDescent="0.25">
      <c r="A431" s="2" t="s">
        <v>740</v>
      </c>
    </row>
    <row r="432" spans="1:1" ht="15.75" x14ac:dyDescent="0.25">
      <c r="A432" s="2" t="s">
        <v>741</v>
      </c>
    </row>
    <row r="433" spans="1:1" ht="15.75" x14ac:dyDescent="0.25">
      <c r="A433" s="2" t="s">
        <v>742</v>
      </c>
    </row>
    <row r="434" spans="1:1" ht="15.75" x14ac:dyDescent="0.25">
      <c r="A434" s="2" t="s">
        <v>743</v>
      </c>
    </row>
    <row r="435" spans="1:1" ht="15.75" x14ac:dyDescent="0.25">
      <c r="A435" s="2" t="s">
        <v>744</v>
      </c>
    </row>
    <row r="436" spans="1:1" ht="15.75" x14ac:dyDescent="0.25">
      <c r="A436" s="2" t="s">
        <v>745</v>
      </c>
    </row>
    <row r="437" spans="1:1" ht="15.75" x14ac:dyDescent="0.25">
      <c r="A437" s="2" t="s">
        <v>746</v>
      </c>
    </row>
    <row r="438" spans="1:1" ht="15.75" x14ac:dyDescent="0.25">
      <c r="A438" s="3" t="s">
        <v>747</v>
      </c>
    </row>
    <row r="439" spans="1:1" ht="15.75" x14ac:dyDescent="0.25">
      <c r="A439" s="2" t="s">
        <v>748</v>
      </c>
    </row>
    <row r="440" spans="1:1" ht="15.75" x14ac:dyDescent="0.25">
      <c r="A440" s="2" t="s">
        <v>749</v>
      </c>
    </row>
    <row r="441" spans="1:1" ht="15.75" x14ac:dyDescent="0.25">
      <c r="A441" s="2" t="s">
        <v>750</v>
      </c>
    </row>
    <row r="442" spans="1:1" ht="15.75" x14ac:dyDescent="0.25">
      <c r="A442" s="2" t="s">
        <v>751</v>
      </c>
    </row>
    <row r="443" spans="1:1" ht="15.75" x14ac:dyDescent="0.25">
      <c r="A443" s="2" t="s">
        <v>752</v>
      </c>
    </row>
    <row r="444" spans="1:1" ht="15.75" x14ac:dyDescent="0.25">
      <c r="A444" s="2" t="s">
        <v>753</v>
      </c>
    </row>
    <row r="445" spans="1:1" ht="15.75" x14ac:dyDescent="0.25">
      <c r="A445" s="2" t="s">
        <v>754</v>
      </c>
    </row>
    <row r="446" spans="1:1" ht="15.75" x14ac:dyDescent="0.25">
      <c r="A446" s="2" t="s">
        <v>755</v>
      </c>
    </row>
    <row r="447" spans="1:1" ht="15.75" x14ac:dyDescent="0.25">
      <c r="A447" s="2" t="s">
        <v>756</v>
      </c>
    </row>
    <row r="448" spans="1:1" ht="15.75" x14ac:dyDescent="0.25">
      <c r="A448" s="2" t="s">
        <v>757</v>
      </c>
    </row>
    <row r="449" spans="1:1" ht="15.75" x14ac:dyDescent="0.25">
      <c r="A449" s="2" t="s">
        <v>758</v>
      </c>
    </row>
    <row r="450" spans="1:1" ht="15.75" x14ac:dyDescent="0.25">
      <c r="A450" s="2" t="s">
        <v>759</v>
      </c>
    </row>
    <row r="451" spans="1:1" ht="15.75" x14ac:dyDescent="0.25">
      <c r="A451" s="2" t="s">
        <v>760</v>
      </c>
    </row>
    <row r="452" spans="1:1" ht="15.75" x14ac:dyDescent="0.25">
      <c r="A452" s="2" t="s">
        <v>761</v>
      </c>
    </row>
    <row r="453" spans="1:1" ht="15.75" x14ac:dyDescent="0.25">
      <c r="A453" s="2" t="s">
        <v>762</v>
      </c>
    </row>
    <row r="454" spans="1:1" ht="15.75" x14ac:dyDescent="0.25">
      <c r="A454" s="2" t="s">
        <v>763</v>
      </c>
    </row>
    <row r="455" spans="1:1" ht="15.75" x14ac:dyDescent="0.25">
      <c r="A455" s="2" t="s">
        <v>764</v>
      </c>
    </row>
    <row r="456" spans="1:1" ht="15.75" x14ac:dyDescent="0.25">
      <c r="A456" s="2" t="s">
        <v>765</v>
      </c>
    </row>
    <row r="457" spans="1:1" ht="15.75" x14ac:dyDescent="0.25">
      <c r="A457" s="2" t="s">
        <v>766</v>
      </c>
    </row>
    <row r="458" spans="1:1" ht="15.75" x14ac:dyDescent="0.25">
      <c r="A458" s="2" t="s">
        <v>767</v>
      </c>
    </row>
    <row r="459" spans="1:1" ht="15.75" x14ac:dyDescent="0.25">
      <c r="A459" s="2" t="s">
        <v>768</v>
      </c>
    </row>
    <row r="460" spans="1:1" ht="15.75" x14ac:dyDescent="0.25">
      <c r="A460" s="2" t="s">
        <v>769</v>
      </c>
    </row>
    <row r="461" spans="1:1" ht="15.75" x14ac:dyDescent="0.25">
      <c r="A461" s="3" t="s">
        <v>770</v>
      </c>
    </row>
    <row r="462" spans="1:1" ht="15.75" x14ac:dyDescent="0.25">
      <c r="A462" s="2" t="s">
        <v>771</v>
      </c>
    </row>
    <row r="463" spans="1:1" ht="15.75" x14ac:dyDescent="0.25">
      <c r="A463" s="2" t="s">
        <v>772</v>
      </c>
    </row>
    <row r="464" spans="1:1" ht="15.75" x14ac:dyDescent="0.25">
      <c r="A464" s="2" t="s">
        <v>773</v>
      </c>
    </row>
    <row r="465" spans="1:1" ht="15.75" x14ac:dyDescent="0.25">
      <c r="A465" s="2" t="s">
        <v>774</v>
      </c>
    </row>
    <row r="466" spans="1:1" ht="15.75" x14ac:dyDescent="0.25">
      <c r="A466" s="2" t="s">
        <v>775</v>
      </c>
    </row>
    <row r="467" spans="1:1" ht="15.75" x14ac:dyDescent="0.25">
      <c r="A467" s="3" t="s">
        <v>776</v>
      </c>
    </row>
    <row r="468" spans="1:1" ht="15.75" x14ac:dyDescent="0.25">
      <c r="A468" s="2" t="s">
        <v>777</v>
      </c>
    </row>
    <row r="469" spans="1:1" ht="15.75" x14ac:dyDescent="0.25">
      <c r="A469" s="2" t="s">
        <v>778</v>
      </c>
    </row>
    <row r="470" spans="1:1" ht="15.75" x14ac:dyDescent="0.25">
      <c r="A470" s="2" t="s">
        <v>779</v>
      </c>
    </row>
    <row r="471" spans="1:1" ht="15.75" x14ac:dyDescent="0.25">
      <c r="A471" s="2" t="s">
        <v>780</v>
      </c>
    </row>
    <row r="472" spans="1:1" ht="15.75" x14ac:dyDescent="0.25">
      <c r="A472" s="2" t="s">
        <v>781</v>
      </c>
    </row>
    <row r="473" spans="1:1" ht="15.75" x14ac:dyDescent="0.25">
      <c r="A473" s="2" t="s">
        <v>782</v>
      </c>
    </row>
    <row r="474" spans="1:1" ht="15.75" x14ac:dyDescent="0.25">
      <c r="A474" s="2" t="s">
        <v>783</v>
      </c>
    </row>
    <row r="475" spans="1:1" ht="15.75" x14ac:dyDescent="0.25">
      <c r="A475" s="2" t="s">
        <v>784</v>
      </c>
    </row>
    <row r="476" spans="1:1" ht="15.75" x14ac:dyDescent="0.25">
      <c r="A476" s="2" t="s">
        <v>785</v>
      </c>
    </row>
    <row r="477" spans="1:1" ht="15.75" x14ac:dyDescent="0.25">
      <c r="A477" s="3" t="s">
        <v>786</v>
      </c>
    </row>
    <row r="478" spans="1:1" ht="15.75" x14ac:dyDescent="0.25">
      <c r="A478" s="2" t="s">
        <v>787</v>
      </c>
    </row>
    <row r="479" spans="1:1" ht="15.75" x14ac:dyDescent="0.25">
      <c r="A479" s="2" t="s">
        <v>788</v>
      </c>
    </row>
    <row r="480" spans="1:1" ht="15.75" x14ac:dyDescent="0.25">
      <c r="A480" s="2" t="s">
        <v>789</v>
      </c>
    </row>
    <row r="481" spans="1:1" ht="15.75" x14ac:dyDescent="0.25">
      <c r="A481" s="2" t="s">
        <v>790</v>
      </c>
    </row>
    <row r="482" spans="1:1" ht="15.75" x14ac:dyDescent="0.25">
      <c r="A482" s="3" t="s">
        <v>791</v>
      </c>
    </row>
    <row r="483" spans="1:1" ht="15.75" x14ac:dyDescent="0.25">
      <c r="A483" s="2" t="s">
        <v>792</v>
      </c>
    </row>
    <row r="484" spans="1:1" ht="15.75" x14ac:dyDescent="0.25">
      <c r="A484" s="2" t="s">
        <v>793</v>
      </c>
    </row>
    <row r="485" spans="1:1" ht="15.75" x14ac:dyDescent="0.25">
      <c r="A485" s="2" t="s">
        <v>794</v>
      </c>
    </row>
    <row r="486" spans="1:1" ht="15.75" x14ac:dyDescent="0.25">
      <c r="A486" s="2" t="s">
        <v>795</v>
      </c>
    </row>
    <row r="487" spans="1:1" ht="15.75" x14ac:dyDescent="0.25">
      <c r="A487" s="2" t="s">
        <v>796</v>
      </c>
    </row>
    <row r="488" spans="1:1" ht="15.75" x14ac:dyDescent="0.25">
      <c r="A488" s="2" t="s">
        <v>797</v>
      </c>
    </row>
    <row r="489" spans="1:1" ht="15.75" x14ac:dyDescent="0.25">
      <c r="A489" s="2" t="s">
        <v>798</v>
      </c>
    </row>
    <row r="490" spans="1:1" ht="15.75" x14ac:dyDescent="0.25">
      <c r="A490" s="2" t="s">
        <v>799</v>
      </c>
    </row>
    <row r="491" spans="1:1" ht="15.75" x14ac:dyDescent="0.25">
      <c r="A491" s="2" t="s">
        <v>800</v>
      </c>
    </row>
    <row r="492" spans="1:1" ht="15.75" x14ac:dyDescent="0.25">
      <c r="A492" s="2" t="s">
        <v>801</v>
      </c>
    </row>
    <row r="493" spans="1:1" ht="15.75" x14ac:dyDescent="0.25">
      <c r="A493" s="2" t="s">
        <v>802</v>
      </c>
    </row>
    <row r="494" spans="1:1" ht="15.75" x14ac:dyDescent="0.25">
      <c r="A494" s="2" t="s">
        <v>803</v>
      </c>
    </row>
    <row r="495" spans="1:1" ht="15.75" x14ac:dyDescent="0.25">
      <c r="A495" s="2" t="s">
        <v>804</v>
      </c>
    </row>
    <row r="496" spans="1:1" ht="15.75" x14ac:dyDescent="0.25">
      <c r="A496" s="2" t="s">
        <v>805</v>
      </c>
    </row>
    <row r="497" spans="1:1" ht="15.75" x14ac:dyDescent="0.25">
      <c r="A497" s="2" t="s">
        <v>806</v>
      </c>
    </row>
    <row r="498" spans="1:1" ht="15.75" x14ac:dyDescent="0.25">
      <c r="A498" s="2" t="s">
        <v>807</v>
      </c>
    </row>
    <row r="499" spans="1:1" ht="15.75" x14ac:dyDescent="0.25">
      <c r="A499" s="2" t="s">
        <v>808</v>
      </c>
    </row>
    <row r="500" spans="1:1" ht="15.75" x14ac:dyDescent="0.25">
      <c r="A500" s="2" t="s">
        <v>809</v>
      </c>
    </row>
    <row r="501" spans="1:1" ht="15.75" x14ac:dyDescent="0.25">
      <c r="A501" s="2" t="s">
        <v>810</v>
      </c>
    </row>
    <row r="502" spans="1:1" ht="15.75" x14ac:dyDescent="0.25">
      <c r="A502" s="2" t="s">
        <v>811</v>
      </c>
    </row>
    <row r="503" spans="1:1" ht="15.75" x14ac:dyDescent="0.25">
      <c r="A503" s="2" t="s">
        <v>812</v>
      </c>
    </row>
    <row r="504" spans="1:1" ht="15.75" x14ac:dyDescent="0.25">
      <c r="A504" s="2" t="s">
        <v>802</v>
      </c>
    </row>
    <row r="505" spans="1:1" ht="15.75" x14ac:dyDescent="0.25">
      <c r="A505" s="2"/>
    </row>
    <row r="506" spans="1:1" ht="15.75" x14ac:dyDescent="0.25">
      <c r="A506" s="2"/>
    </row>
    <row r="507" spans="1:1" ht="15.75" x14ac:dyDescent="0.25">
      <c r="A507" s="3" t="s">
        <v>813</v>
      </c>
    </row>
    <row r="508" spans="1:1" ht="15.75" x14ac:dyDescent="0.25">
      <c r="A508" s="3" t="s">
        <v>814</v>
      </c>
    </row>
    <row r="509" spans="1:1" ht="15.75" x14ac:dyDescent="0.25">
      <c r="A509" s="3" t="s">
        <v>815</v>
      </c>
    </row>
    <row r="510" spans="1:1" ht="15.75" x14ac:dyDescent="0.25">
      <c r="A510" s="3"/>
    </row>
    <row r="511" spans="1:1" x14ac:dyDescent="0.25">
      <c r="A511" s="4" t="s">
        <v>816</v>
      </c>
    </row>
  </sheetData>
  <pageMargins left="0.7" right="0.7" top="0.75" bottom="0.75" header="0.3" footer="0.3"/>
</worksheet>
</file>

<file path=docMetadata/LabelInfo.xml><?xml version="1.0" encoding="utf-8"?>
<clbl:labelList xmlns:clbl="http://schemas.microsoft.com/office/2020/mipLabelMetadata">
  <clbl:label id="{d4d20959-5802-4297-8e14-89ee14fa6058}" enabled="1" method="Standard" siteId="{af45edb0-75fc-4dec-813d-78edec2def1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Language</vt:lpstr>
      <vt:lpstr>ADAS 2026</vt:lpstr>
      <vt:lpstr>Accessories</vt:lpstr>
      <vt:lpstr>Terms &amp; Conditions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Valentini, Fabrizio</dc:creator>
  <cp:keywords/>
  <dc:description/>
  <cp:lastModifiedBy>Mindaugas Deikus</cp:lastModifiedBy>
  <cp:revision/>
  <dcterms:created xsi:type="dcterms:W3CDTF">2025-09-18T11:59:10Z</dcterms:created>
  <dcterms:modified xsi:type="dcterms:W3CDTF">2026-01-06T08:55:12Z</dcterms:modified>
  <cp:category/>
  <cp:contentStatus/>
</cp:coreProperties>
</file>